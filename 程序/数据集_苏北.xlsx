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大论文\需水预测\PSO-BP神经网络回归预测模型（粒子群算法优化BP神经网络）\程序\"/>
    </mc:Choice>
  </mc:AlternateContent>
  <xr:revisionPtr revIDLastSave="0" documentId="13_ncr:1_{2E7B265C-14AF-4D10-9AB6-45B0427934B1}" xr6:coauthVersionLast="47" xr6:coauthVersionMax="47" xr10:uidLastSave="{00000000-0000-0000-0000-000000000000}"/>
  <bookViews>
    <workbookView xWindow="3510" yWindow="3510" windowWidth="28365" windowHeight="1056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K2" i="1"/>
  <c r="L2" i="1"/>
  <c r="M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B2" i="1" l="1"/>
  <c r="F2" i="1"/>
  <c r="G2" i="1"/>
  <c r="H2" i="1"/>
  <c r="B3" i="1"/>
  <c r="F3" i="1"/>
  <c r="G3" i="1"/>
  <c r="H3" i="1"/>
  <c r="B4" i="1"/>
  <c r="F4" i="1"/>
  <c r="G4" i="1"/>
  <c r="H4" i="1"/>
  <c r="B5" i="1"/>
  <c r="F5" i="1"/>
  <c r="G5" i="1"/>
  <c r="H5" i="1"/>
  <c r="B6" i="1"/>
  <c r="F6" i="1"/>
  <c r="G6" i="1"/>
  <c r="H6" i="1"/>
  <c r="B7" i="1"/>
  <c r="F7" i="1"/>
  <c r="G7" i="1"/>
  <c r="H7" i="1"/>
  <c r="B8" i="1"/>
  <c r="F8" i="1"/>
  <c r="G8" i="1"/>
  <c r="H8" i="1"/>
  <c r="B9" i="1"/>
  <c r="F9" i="1"/>
  <c r="G9" i="1"/>
  <c r="H9" i="1"/>
  <c r="B10" i="1"/>
  <c r="F10" i="1"/>
  <c r="G10" i="1"/>
  <c r="H10" i="1"/>
  <c r="B11" i="1"/>
  <c r="F11" i="1"/>
  <c r="G11" i="1"/>
  <c r="H11" i="1"/>
  <c r="B12" i="1"/>
  <c r="F12" i="1"/>
  <c r="G12" i="1"/>
  <c r="H12" i="1"/>
  <c r="B13" i="1"/>
  <c r="F13" i="1"/>
  <c r="G13" i="1"/>
  <c r="H13" i="1"/>
  <c r="B14" i="1"/>
  <c r="F14" i="1"/>
  <c r="G14" i="1"/>
  <c r="H14" i="1"/>
  <c r="B15" i="1"/>
  <c r="F15" i="1"/>
  <c r="G15" i="1"/>
  <c r="H15" i="1"/>
  <c r="B16" i="1"/>
  <c r="F16" i="1"/>
  <c r="G16" i="1"/>
  <c r="H16" i="1"/>
  <c r="B17" i="1"/>
  <c r="F17" i="1"/>
  <c r="G17" i="1"/>
  <c r="H17" i="1"/>
  <c r="B18" i="1"/>
  <c r="F18" i="1"/>
  <c r="G18" i="1"/>
  <c r="H18" i="1"/>
  <c r="B19" i="1"/>
  <c r="F19" i="1"/>
  <c r="G19" i="1"/>
  <c r="H19" i="1"/>
  <c r="B20" i="1"/>
  <c r="F20" i="1"/>
  <c r="G20" i="1"/>
  <c r="H20" i="1"/>
  <c r="B21" i="1"/>
  <c r="F21" i="1"/>
  <c r="G21" i="1"/>
  <c r="H21" i="1"/>
  <c r="C60" i="1" l="1"/>
  <c r="F60" i="1"/>
  <c r="G60" i="1"/>
  <c r="H60" i="1"/>
  <c r="C61" i="1"/>
  <c r="F61" i="1"/>
  <c r="G61" i="1"/>
  <c r="H61" i="1"/>
  <c r="C62" i="1"/>
  <c r="F62" i="1"/>
  <c r="G62" i="1"/>
  <c r="H62" i="1"/>
  <c r="C63" i="1"/>
  <c r="F63" i="1"/>
  <c r="G63" i="1"/>
  <c r="H63" i="1"/>
  <c r="C64" i="1"/>
  <c r="F64" i="1"/>
  <c r="G64" i="1"/>
  <c r="H64" i="1"/>
  <c r="C65" i="1"/>
  <c r="F65" i="1"/>
  <c r="G65" i="1"/>
  <c r="H65" i="1"/>
  <c r="C66" i="1"/>
  <c r="F66" i="1"/>
  <c r="G66" i="1"/>
  <c r="H66" i="1"/>
  <c r="C67" i="1"/>
  <c r="F67" i="1"/>
  <c r="G67" i="1"/>
  <c r="H67" i="1"/>
  <c r="C68" i="1"/>
  <c r="F68" i="1"/>
  <c r="G68" i="1"/>
  <c r="H68" i="1"/>
  <c r="C69" i="1"/>
  <c r="F69" i="1"/>
  <c r="G69" i="1"/>
  <c r="H69" i="1"/>
  <c r="C70" i="1"/>
  <c r="F70" i="1"/>
  <c r="G70" i="1"/>
  <c r="H70" i="1"/>
  <c r="C71" i="1"/>
  <c r="F71" i="1"/>
  <c r="G71" i="1"/>
  <c r="H71" i="1"/>
  <c r="C72" i="1"/>
  <c r="F72" i="1"/>
  <c r="G72" i="1"/>
  <c r="H72" i="1"/>
  <c r="C73" i="1"/>
  <c r="F73" i="1"/>
  <c r="G73" i="1"/>
  <c r="H73" i="1"/>
  <c r="C74" i="1"/>
  <c r="F74" i="1"/>
  <c r="G74" i="1"/>
  <c r="H74" i="1"/>
  <c r="C75" i="1"/>
  <c r="F75" i="1"/>
  <c r="G75" i="1"/>
  <c r="H75" i="1"/>
  <c r="C76" i="1"/>
  <c r="F76" i="1"/>
  <c r="G76" i="1"/>
  <c r="H76" i="1"/>
  <c r="C77" i="1"/>
  <c r="F77" i="1"/>
  <c r="G77" i="1"/>
  <c r="H77" i="1"/>
  <c r="C78" i="1"/>
  <c r="F78" i="1"/>
  <c r="G78" i="1"/>
  <c r="H78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60" i="1"/>
  <c r="N36" i="1" l="1"/>
  <c r="N3" i="1" s="1"/>
  <c r="N37" i="1"/>
  <c r="N4" i="1" s="1"/>
  <c r="N38" i="1"/>
  <c r="N5" i="1" s="1"/>
  <c r="N39" i="1"/>
  <c r="N6" i="1" s="1"/>
  <c r="N40" i="1"/>
  <c r="N7" i="1" s="1"/>
  <c r="N41" i="1"/>
  <c r="N8" i="1" s="1"/>
  <c r="N42" i="1"/>
  <c r="N9" i="1" s="1"/>
  <c r="N43" i="1"/>
  <c r="N10" i="1" s="1"/>
  <c r="N44" i="1"/>
  <c r="N11" i="1" s="1"/>
  <c r="N45" i="1"/>
  <c r="N12" i="1" s="1"/>
  <c r="N46" i="1"/>
  <c r="N13" i="1" s="1"/>
  <c r="N47" i="1"/>
  <c r="N14" i="1" s="1"/>
  <c r="N48" i="1"/>
  <c r="N15" i="1" s="1"/>
  <c r="N49" i="1"/>
  <c r="N16" i="1" s="1"/>
  <c r="N50" i="1"/>
  <c r="N17" i="1" s="1"/>
  <c r="N51" i="1"/>
  <c r="N18" i="1" s="1"/>
  <c r="N52" i="1"/>
  <c r="N19" i="1" s="1"/>
  <c r="N53" i="1"/>
  <c r="N20" i="1" s="1"/>
  <c r="N54" i="1"/>
  <c r="N21" i="1" s="1"/>
  <c r="N35" i="1"/>
  <c r="N2" i="1" s="1"/>
</calcChain>
</file>

<file path=xl/sharedStrings.xml><?xml version="1.0" encoding="utf-8"?>
<sst xmlns="http://schemas.openxmlformats.org/spreadsheetml/2006/main" count="139" uniqueCount="87">
  <si>
    <t>常住人口</t>
  </si>
  <si>
    <t>万人</t>
  </si>
  <si>
    <t>亿元</t>
  </si>
  <si>
    <t>m³/万元</t>
  </si>
  <si>
    <t>序号</t>
  </si>
  <si>
    <t>变量名称</t>
  </si>
  <si>
    <t>符号</t>
  </si>
  <si>
    <t>单位</t>
  </si>
  <si>
    <t>变量类型</t>
  </si>
  <si>
    <t>含义说明</t>
  </si>
  <si>
    <t>数据来源</t>
  </si>
  <si>
    <t>是否用于不确定性分析</t>
  </si>
  <si>
    <t>X1X_1X1​</t>
  </si>
  <si>
    <t>规模变量</t>
  </si>
  <si>
    <t>反映区域生活用水的刚性需求规模，是经济社会需水变化的基础约束条件</t>
  </si>
  <si>
    <t>统计年鉴</t>
  </si>
  <si>
    <t>是（情景扰动）</t>
  </si>
  <si>
    <t>第一产业增加值</t>
  </si>
  <si>
    <t>X2X_2X2​</t>
  </si>
  <si>
    <t>规模/结构变量</t>
  </si>
  <si>
    <t>表征农业经济活动水平，反映农业生产结构及投入强度变化</t>
  </si>
  <si>
    <t>第二产业增加值</t>
  </si>
  <si>
    <t>X3X_3X3​</t>
  </si>
  <si>
    <t>表征工业经济活动规模，对工业用水需求具有直接影响</t>
  </si>
  <si>
    <t>第三产业增加值</t>
  </si>
  <si>
    <t>X4X_4X4​</t>
  </si>
  <si>
    <t>表征服务业发展水平，反映非工业经济活动对用水需求的影响</t>
  </si>
  <si>
    <t>城镇生活人均用水量</t>
  </si>
  <si>
    <t>X5X_5X5​</t>
  </si>
  <si>
    <t>L/(人·d)</t>
  </si>
  <si>
    <t>行为/效率变量</t>
  </si>
  <si>
    <t>反映城镇居民生活用水行为与节水水平变化</t>
  </si>
  <si>
    <t>水资源公报</t>
  </si>
  <si>
    <t>是（参数扰动）</t>
  </si>
  <si>
    <t>农村生活人均用水量</t>
  </si>
  <si>
    <t>X6X_6X6​</t>
  </si>
  <si>
    <t>反映农村居民生活用水特征及生活方式变化</t>
  </si>
  <si>
    <t>农作物播种面积</t>
  </si>
  <si>
    <t>X7X_7X7​</t>
  </si>
  <si>
    <t>万 hm²</t>
  </si>
  <si>
    <t>表征农业生产物理规模，是农业需水量的重要基础指标</t>
  </si>
  <si>
    <t>亩均灌溉用水量</t>
  </si>
  <si>
    <t>X8X_8X8​</t>
  </si>
  <si>
    <t>m³/亩</t>
  </si>
  <si>
    <t>效率变量</t>
  </si>
  <si>
    <t>反映农业灌溉用水效率及节水技术水平</t>
  </si>
  <si>
    <t>万元工业增加值用水量</t>
  </si>
  <si>
    <t>X9X_9X9​</t>
  </si>
  <si>
    <t>表征工业用水强度，体现工业节水与技术进步水平</t>
  </si>
  <si>
    <r>
      <t>X</t>
    </r>
    <r>
      <rPr>
        <vertAlign val="subscript"/>
        <sz val="14"/>
        <color rgb="FF000000"/>
        <rFont val="Times New Roman"/>
        <family val="1"/>
      </rPr>
      <t>1</t>
    </r>
  </si>
  <si>
    <r>
      <t>X</t>
    </r>
    <r>
      <rPr>
        <vertAlign val="subscript"/>
        <sz val="14"/>
        <color rgb="FF000000"/>
        <rFont val="Times New Roman"/>
        <family val="1"/>
      </rPr>
      <t>2</t>
    </r>
  </si>
  <si>
    <r>
      <t>X</t>
    </r>
    <r>
      <rPr>
        <vertAlign val="subscript"/>
        <sz val="14"/>
        <color rgb="FF000000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</si>
  <si>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</si>
  <si>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</si>
  <si>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t>地区生产总值</t>
    <phoneticPr fontId="2" type="noConversion"/>
  </si>
  <si>
    <t>常住总人口</t>
  </si>
  <si>
    <t>亩均灌溉用水量（m³/亩）</t>
  </si>
  <si>
    <t>万元工业增加值用水量（m³/万元）</t>
  </si>
  <si>
    <r>
      <rPr>
        <sz val="14"/>
        <color theme="1"/>
        <rFont val="宋体"/>
        <family val="1"/>
        <charset val="134"/>
      </rPr>
      <t>需水量</t>
    </r>
    <phoneticPr fontId="2" type="noConversion"/>
  </si>
  <si>
    <t>年份</t>
    <phoneticPr fontId="2" type="noConversion"/>
  </si>
  <si>
    <r>
      <t>X</t>
    </r>
    <r>
      <rPr>
        <vertAlign val="subscript"/>
        <sz val="14"/>
        <rFont val="Times New Roman"/>
        <family val="1"/>
      </rPr>
      <t>1</t>
    </r>
  </si>
  <si>
    <r>
      <rPr>
        <sz val="14"/>
        <rFont val="宋体"/>
        <family val="1"/>
        <charset val="134"/>
      </rPr>
      <t>需水量</t>
    </r>
    <phoneticPr fontId="2" type="noConversion"/>
  </si>
  <si>
    <r>
      <t>X</t>
    </r>
    <r>
      <rPr>
        <vertAlign val="subscript"/>
        <sz val="14"/>
        <rFont val="Times New Roman"/>
        <family val="1"/>
      </rPr>
      <t>2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</si>
  <si>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</si>
  <si>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t>变化值</t>
    <phoneticPr fontId="2" type="noConversion"/>
  </si>
  <si>
    <r>
      <t>X</t>
    </r>
    <r>
      <rPr>
        <vertAlign val="subscript"/>
        <sz val="14"/>
        <color rgb="FF000000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</si>
  <si>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</si>
  <si>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8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</si>
  <si>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9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</si>
  <si>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color rgb="FF000000"/>
        <rFont val="Times New Roman"/>
        <family val="1"/>
      </rPr>
      <t>10</t>
    </r>
    <r>
      <rPr>
        <sz val="11"/>
        <color theme="1"/>
        <rFont val="等线"/>
        <family val="2"/>
        <scheme val="minor"/>
      </rPr>
      <t/>
    </r>
  </si>
  <si>
    <t>农业用水总量(亿立方米)</t>
  </si>
  <si>
    <t>工业用水总量(亿立方米)</t>
  </si>
  <si>
    <t>生活用水总量(亿立方米)</t>
  </si>
  <si>
    <t>生态用水总量(亿立方米)</t>
  </si>
  <si>
    <t>人均用水量(立方米/人)</t>
  </si>
  <si>
    <r>
      <t>X</t>
    </r>
    <r>
      <rPr>
        <vertAlign val="subscript"/>
        <sz val="14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</si>
  <si>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8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</si>
  <si>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10</t>
    </r>
    <r>
      <rPr>
        <sz val="11"/>
        <color theme="1"/>
        <rFont val="等线"/>
        <family val="2"/>
        <scheme val="minor"/>
      </rPr>
      <t/>
    </r>
  </si>
  <si>
    <r>
      <rPr>
        <sz val="14"/>
        <color rgb="FF000000"/>
        <rFont val="宋体"/>
        <family val="3"/>
        <charset val="134"/>
      </rPr>
      <t>第一产业增加值</t>
    </r>
  </si>
  <si>
    <r>
      <rPr>
        <sz val="14"/>
        <color rgb="FF000000"/>
        <rFont val="宋体"/>
        <family val="3"/>
        <charset val="134"/>
      </rPr>
      <t>第二产业增加值</t>
    </r>
  </si>
  <si>
    <r>
      <rPr>
        <sz val="14"/>
        <color rgb="FF000000"/>
        <rFont val="宋体"/>
        <family val="3"/>
        <charset val="134"/>
      </rPr>
      <t>第三产业增加值</t>
    </r>
  </si>
  <si>
    <r>
      <t>X</t>
    </r>
    <r>
      <rPr>
        <vertAlign val="subscript"/>
        <sz val="14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</si>
  <si>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</si>
  <si>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</si>
  <si>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9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</si>
  <si>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11</t>
    </r>
    <r>
      <rPr>
        <sz val="11"/>
        <color theme="1"/>
        <rFont val="等线"/>
        <family val="2"/>
        <scheme val="minor"/>
      </rPr>
      <t/>
    </r>
  </si>
  <si>
    <r>
      <t>X</t>
    </r>
    <r>
      <rPr>
        <vertAlign val="subscript"/>
        <sz val="14"/>
        <rFont val="Times New Roman"/>
        <family val="1"/>
      </rPr>
      <t>12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</si>
</sst>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vertAlign val="subscript"/>
      <sz val="14"/>
      <color rgb="FF000000"/>
      <name val="Times New Roman"/>
      <family val="1"/>
    </font>
    <font>
      <sz val="14"/>
      <color theme="1"/>
      <name val="宋体"/>
      <family val="1"/>
      <charset val="134"/>
    </font>
    <font>
      <vertAlign val="subscript"/>
      <sz val="14"/>
      <name val="Times New Roman"/>
      <family val="1"/>
    </font>
    <font>
      <sz val="14"/>
      <name val="宋体"/>
      <family val="1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3" fillId="0" borderId="1" xfId="0" applyNumberFormat="1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6"/>
  <sheetViews>
    <sheetView tabSelected="1" topLeftCell="F1" zoomScale="85" zoomScaleNormal="85" workbookViewId="0">
      <selection activeCell="O23" sqref="O23"/>
    </sheetView>
  </sheetViews>
  <sheetFormatPr defaultColWidth="13.125" defaultRowHeight="18.75" x14ac:dyDescent="0.2"/>
  <cols>
    <col min="1" max="1" width="13.125" style="17"/>
    <col min="2" max="8" width="31.5" style="17" customWidth="1"/>
    <col min="9" max="13" width="27.5" style="17" customWidth="1"/>
    <col min="14" max="16384" width="13.125" style="17"/>
  </cols>
  <sheetData>
    <row r="1" spans="1:14" ht="20.25" x14ac:dyDescent="0.2">
      <c r="A1" s="16" t="s">
        <v>59</v>
      </c>
      <c r="B1" s="11" t="s">
        <v>60</v>
      </c>
      <c r="C1" s="11" t="s">
        <v>62</v>
      </c>
      <c r="D1" s="11" t="s">
        <v>81</v>
      </c>
      <c r="E1" s="11" t="s">
        <v>63</v>
      </c>
      <c r="F1" s="11" t="s">
        <v>82</v>
      </c>
      <c r="G1" s="11" t="s">
        <v>75</v>
      </c>
      <c r="H1" s="11" t="s">
        <v>83</v>
      </c>
      <c r="I1" s="11" t="s">
        <v>76</v>
      </c>
      <c r="J1" s="11" t="s">
        <v>84</v>
      </c>
      <c r="K1" s="11" t="s">
        <v>77</v>
      </c>
      <c r="L1" s="11" t="s">
        <v>85</v>
      </c>
      <c r="M1" s="11" t="s">
        <v>86</v>
      </c>
      <c r="N1" s="7" t="s">
        <v>61</v>
      </c>
    </row>
    <row r="2" spans="1:14" x14ac:dyDescent="0.3">
      <c r="A2" s="17">
        <v>2004</v>
      </c>
      <c r="B2" s="1">
        <f>B35</f>
        <v>3145.13</v>
      </c>
      <c r="C2" s="1">
        <v>123.29</v>
      </c>
      <c r="D2" s="1">
        <v>763.73</v>
      </c>
      <c r="E2" s="1">
        <v>512.90000000000009</v>
      </c>
      <c r="F2" s="1">
        <f t="shared" ref="C2:H2" si="0">F35</f>
        <v>4601.3999999999996</v>
      </c>
      <c r="G2" s="1">
        <f t="shared" si="0"/>
        <v>490.30188358599111</v>
      </c>
      <c r="H2" s="1">
        <f t="shared" si="0"/>
        <v>30.073714780374061</v>
      </c>
      <c r="I2" s="24">
        <f>I35</f>
        <v>103.36241452422094</v>
      </c>
      <c r="J2" s="24">
        <f t="shared" ref="J2:M2" si="1">J35</f>
        <v>65.421063750858735</v>
      </c>
      <c r="K2" s="24">
        <f t="shared" si="1"/>
        <v>14.545975839457091</v>
      </c>
      <c r="L2" s="24">
        <f t="shared" si="1"/>
        <v>4.9800262110456535</v>
      </c>
      <c r="M2" s="24">
        <f t="shared" si="1"/>
        <v>253.33644128276131</v>
      </c>
      <c r="N2" s="12">
        <f t="shared" ref="N2:N21" si="2">N35</f>
        <v>188.30948032558243</v>
      </c>
    </row>
    <row r="3" spans="1:14" x14ac:dyDescent="0.3">
      <c r="A3" s="18">
        <v>2005</v>
      </c>
      <c r="B3" s="1">
        <f t="shared" ref="B3:I21" si="3">B36</f>
        <v>3111</v>
      </c>
      <c r="C3" s="1">
        <v>755.19</v>
      </c>
      <c r="D3" s="1">
        <v>1711.76</v>
      </c>
      <c r="E3" s="1">
        <v>1278.24</v>
      </c>
      <c r="F3" s="1">
        <f t="shared" si="3"/>
        <v>4601</v>
      </c>
      <c r="G3" s="1">
        <f t="shared" si="3"/>
        <v>482.95943173327476</v>
      </c>
      <c r="H3" s="1">
        <f t="shared" si="3"/>
        <v>28.565593390207813</v>
      </c>
      <c r="I3" s="24">
        <f t="shared" si="3"/>
        <v>94.513015429772906</v>
      </c>
      <c r="J3" s="24">
        <f t="shared" ref="J3:M3" si="4">J36</f>
        <v>74.485428005495791</v>
      </c>
      <c r="K3" s="24">
        <f t="shared" si="4"/>
        <v>15.441664006911344</v>
      </c>
      <c r="L3" s="24">
        <f t="shared" si="4"/>
        <v>1.7913763349085083</v>
      </c>
      <c r="M3" s="24">
        <f t="shared" si="4"/>
        <v>249.86117119303876</v>
      </c>
      <c r="N3" s="12">
        <f t="shared" si="2"/>
        <v>186.19565625039039</v>
      </c>
    </row>
    <row r="4" spans="1:14" x14ac:dyDescent="0.3">
      <c r="A4" s="18">
        <v>2006</v>
      </c>
      <c r="B4" s="1">
        <f t="shared" si="3"/>
        <v>3076.87</v>
      </c>
      <c r="C4" s="1">
        <v>817.01</v>
      </c>
      <c r="D4" s="1">
        <v>2098.0300000000002</v>
      </c>
      <c r="E4" s="1">
        <v>1534.96</v>
      </c>
      <c r="F4" s="1">
        <f t="shared" si="3"/>
        <v>4459.5</v>
      </c>
      <c r="G4" s="1">
        <f t="shared" si="3"/>
        <v>475.61697988055846</v>
      </c>
      <c r="H4" s="1">
        <f t="shared" si="3"/>
        <v>27.05747200004156</v>
      </c>
      <c r="I4" s="24">
        <f t="shared" si="3"/>
        <v>96.985114771946641</v>
      </c>
      <c r="J4" s="24">
        <f t="shared" ref="J4:M4" si="5">J37</f>
        <v>78.928041316068871</v>
      </c>
      <c r="K4" s="24">
        <f t="shared" si="5"/>
        <v>16.516489807856448</v>
      </c>
      <c r="L4" s="24">
        <f t="shared" si="5"/>
        <v>3.2961324562316552</v>
      </c>
      <c r="M4" s="24">
        <f t="shared" si="5"/>
        <v>260.57360167579162</v>
      </c>
      <c r="N4" s="12">
        <f t="shared" si="2"/>
        <v>195.76160587880179</v>
      </c>
    </row>
    <row r="5" spans="1:14" x14ac:dyDescent="0.3">
      <c r="A5" s="18">
        <v>2007</v>
      </c>
      <c r="B5" s="1">
        <f t="shared" si="3"/>
        <v>3042.77</v>
      </c>
      <c r="C5" s="1">
        <v>893.22</v>
      </c>
      <c r="D5" s="1">
        <v>2540.39</v>
      </c>
      <c r="E5" s="1">
        <v>1853.96</v>
      </c>
      <c r="F5" s="1">
        <f t="shared" si="3"/>
        <v>4460</v>
      </c>
      <c r="G5" s="1">
        <f t="shared" si="3"/>
        <v>468.27452802784217</v>
      </c>
      <c r="H5" s="1">
        <f t="shared" si="3"/>
        <v>25.549350609875308</v>
      </c>
      <c r="I5" s="24">
        <f t="shared" si="3"/>
        <v>96.196909184586914</v>
      </c>
      <c r="J5" s="24">
        <f t="shared" ref="J5:M5" si="6">J38</f>
        <v>80.719417650977391</v>
      </c>
      <c r="K5" s="24">
        <f t="shared" si="6"/>
        <v>17.340522921914364</v>
      </c>
      <c r="L5" s="24">
        <f t="shared" si="6"/>
        <v>5.8040593251035677</v>
      </c>
      <c r="M5" s="24">
        <f t="shared" si="6"/>
        <v>263.65476897183424</v>
      </c>
      <c r="N5" s="12">
        <f t="shared" si="2"/>
        <v>200.02508155588404</v>
      </c>
    </row>
    <row r="6" spans="1:14" x14ac:dyDescent="0.3">
      <c r="A6" s="18">
        <v>2008</v>
      </c>
      <c r="B6" s="1">
        <f t="shared" si="3"/>
        <v>3023.97</v>
      </c>
      <c r="C6" s="1">
        <v>987.9</v>
      </c>
      <c r="D6" s="1">
        <v>3094.55</v>
      </c>
      <c r="E6" s="1">
        <v>2263.84</v>
      </c>
      <c r="F6" s="1">
        <f t="shared" si="3"/>
        <v>4556</v>
      </c>
      <c r="G6" s="1">
        <f t="shared" si="3"/>
        <v>460.93207617512587</v>
      </c>
      <c r="H6" s="1">
        <f t="shared" si="3"/>
        <v>24.041229219709059</v>
      </c>
      <c r="I6" s="24">
        <f t="shared" si="3"/>
        <v>102.9324842038429</v>
      </c>
      <c r="J6" s="24">
        <f t="shared" ref="J6:M6" si="7">J39</f>
        <v>75.022840905968337</v>
      </c>
      <c r="K6" s="24">
        <f t="shared" si="7"/>
        <v>17.734625715594234</v>
      </c>
      <c r="L6" s="24">
        <f t="shared" si="7"/>
        <v>4.3351307304785909</v>
      </c>
      <c r="M6" s="24">
        <f t="shared" si="7"/>
        <v>261.43346231654778</v>
      </c>
      <c r="N6" s="12">
        <f t="shared" si="2"/>
        <v>200.02508155588404</v>
      </c>
    </row>
    <row r="7" spans="1:14" x14ac:dyDescent="0.3">
      <c r="A7" s="18">
        <v>2009</v>
      </c>
      <c r="B7" s="1">
        <f t="shared" si="3"/>
        <v>3015.02</v>
      </c>
      <c r="C7" s="1">
        <v>1065.33</v>
      </c>
      <c r="D7" s="1">
        <v>3532.73</v>
      </c>
      <c r="E7" s="1">
        <v>2598.83</v>
      </c>
      <c r="F7" s="1">
        <f t="shared" si="3"/>
        <v>4601.2</v>
      </c>
      <c r="G7" s="1">
        <f t="shared" si="3"/>
        <v>453.58962432240952</v>
      </c>
      <c r="H7" s="1">
        <f t="shared" si="3"/>
        <v>22.533107829542807</v>
      </c>
      <c r="I7" s="24">
        <f t="shared" si="3"/>
        <v>107.51840762120869</v>
      </c>
      <c r="J7" s="24">
        <f t="shared" ref="J7:M7" si="8">J40</f>
        <v>69.684539427940976</v>
      </c>
      <c r="K7" s="24">
        <f t="shared" si="8"/>
        <v>18.415348722859466</v>
      </c>
      <c r="L7" s="24">
        <f t="shared" si="8"/>
        <v>1.1464808543414455</v>
      </c>
      <c r="M7" s="24">
        <f t="shared" si="8"/>
        <v>255.5219204113497</v>
      </c>
      <c r="N7" s="12">
        <f t="shared" si="2"/>
        <v>196.7647766263506</v>
      </c>
    </row>
    <row r="8" spans="1:14" x14ac:dyDescent="0.3">
      <c r="A8" s="18">
        <v>2010</v>
      </c>
      <c r="B8" s="1">
        <f t="shared" si="3"/>
        <v>2977</v>
      </c>
      <c r="C8" s="1">
        <v>1222.69</v>
      </c>
      <c r="D8" s="1">
        <v>4258.78</v>
      </c>
      <c r="E8" s="1">
        <v>3438.9</v>
      </c>
      <c r="F8" s="1">
        <f t="shared" si="3"/>
        <v>4660.6000000000004</v>
      </c>
      <c r="G8" s="1">
        <f t="shared" si="3"/>
        <v>447</v>
      </c>
      <c r="H8" s="1">
        <f t="shared" si="3"/>
        <v>30</v>
      </c>
      <c r="I8" s="24">
        <f t="shared" si="3"/>
        <v>105.38475190148496</v>
      </c>
      <c r="J8" s="24">
        <f t="shared" ref="J8:M8" si="9">J41</f>
        <v>66.480387540746108</v>
      </c>
      <c r="K8" s="24">
        <f t="shared" si="9"/>
        <v>18.326276711336472</v>
      </c>
      <c r="L8" s="24">
        <f t="shared" si="9"/>
        <v>1.108583846432452</v>
      </c>
      <c r="M8" s="24">
        <f t="shared" si="9"/>
        <v>244.02701919594347</v>
      </c>
      <c r="N8" s="12">
        <f t="shared" si="2"/>
        <v>191.3</v>
      </c>
    </row>
    <row r="9" spans="1:14" x14ac:dyDescent="0.3">
      <c r="A9" s="18">
        <v>2011</v>
      </c>
      <c r="B9" s="1">
        <f t="shared" si="3"/>
        <v>2956.6</v>
      </c>
      <c r="C9" s="1">
        <v>1388.65</v>
      </c>
      <c r="D9" s="1">
        <v>5146.24</v>
      </c>
      <c r="E9" s="1">
        <v>4209.43</v>
      </c>
      <c r="F9" s="1">
        <f t="shared" si="3"/>
        <v>4696.7</v>
      </c>
      <c r="G9" s="1">
        <f t="shared" si="3"/>
        <v>442</v>
      </c>
      <c r="H9" s="1">
        <f t="shared" si="3"/>
        <v>27</v>
      </c>
      <c r="I9" s="24">
        <f t="shared" si="3"/>
        <v>106.40460266091334</v>
      </c>
      <c r="J9" s="24">
        <f t="shared" ref="J9:M9" si="10">J42</f>
        <v>66.727723840345192</v>
      </c>
      <c r="K9" s="24">
        <f t="shared" si="10"/>
        <v>18.126141675656239</v>
      </c>
      <c r="L9" s="24">
        <f t="shared" si="10"/>
        <v>1.1415318230852209</v>
      </c>
      <c r="M9" s="24">
        <f t="shared" si="10"/>
        <v>244.01107515282268</v>
      </c>
      <c r="N9" s="12">
        <f t="shared" si="2"/>
        <v>192.4</v>
      </c>
    </row>
    <row r="10" spans="1:14" x14ac:dyDescent="0.3">
      <c r="A10" s="18">
        <v>2012</v>
      </c>
      <c r="B10" s="1">
        <f t="shared" si="3"/>
        <v>2943.7300000000005</v>
      </c>
      <c r="C10" s="1">
        <v>1545.77</v>
      </c>
      <c r="D10" s="1">
        <v>5783.58</v>
      </c>
      <c r="E10" s="1">
        <v>4853.59</v>
      </c>
      <c r="F10" s="1">
        <f t="shared" si="3"/>
        <v>4706.1000000000004</v>
      </c>
      <c r="G10" s="1">
        <f t="shared" si="3"/>
        <v>397</v>
      </c>
      <c r="H10" s="1">
        <f t="shared" si="3"/>
        <v>20</v>
      </c>
      <c r="I10" s="24">
        <f t="shared" si="3"/>
        <v>104.8049619703006</v>
      </c>
      <c r="J10" s="24">
        <f t="shared" ref="J10:M10" si="11">J43</f>
        <v>66.266660630206431</v>
      </c>
      <c r="K10" s="24">
        <f t="shared" si="11"/>
        <v>17.330224556320172</v>
      </c>
      <c r="L10" s="24">
        <f t="shared" si="11"/>
        <v>1.1324701195219122</v>
      </c>
      <c r="M10" s="24">
        <f t="shared" si="11"/>
        <v>239.6032234697573</v>
      </c>
      <c r="N10" s="12">
        <f t="shared" si="2"/>
        <v>189.5</v>
      </c>
    </row>
    <row r="11" spans="1:14" x14ac:dyDescent="0.3">
      <c r="A11" s="18">
        <v>2013</v>
      </c>
      <c r="B11" s="1">
        <f t="shared" si="3"/>
        <v>2940.49</v>
      </c>
      <c r="C11" s="1">
        <v>1688.31</v>
      </c>
      <c r="D11" s="1">
        <v>6360.4800000000005</v>
      </c>
      <c r="E11" s="1">
        <v>5510.09</v>
      </c>
      <c r="F11" s="1">
        <f t="shared" si="3"/>
        <v>4720.59</v>
      </c>
      <c r="G11" s="1">
        <f t="shared" si="3"/>
        <v>417</v>
      </c>
      <c r="H11" s="1">
        <f t="shared" si="3"/>
        <v>21.4</v>
      </c>
      <c r="I11" s="24">
        <f t="shared" si="3"/>
        <v>113.52262978552815</v>
      </c>
      <c r="J11" s="24">
        <f t="shared" ref="J11:M11" si="12">J44</f>
        <v>82.763599919823605</v>
      </c>
      <c r="K11" s="24">
        <f t="shared" si="12"/>
        <v>19.327801162557627</v>
      </c>
      <c r="L11" s="24">
        <f t="shared" si="12"/>
        <v>1.2032872319102026</v>
      </c>
      <c r="M11" s="24">
        <f t="shared" si="12"/>
        <v>273.48462617759066</v>
      </c>
      <c r="N11" s="12">
        <f t="shared" si="2"/>
        <v>187.6</v>
      </c>
    </row>
    <row r="12" spans="1:14" x14ac:dyDescent="0.3">
      <c r="A12" s="18">
        <v>2014</v>
      </c>
      <c r="B12" s="1">
        <f t="shared" si="3"/>
        <v>2952.06</v>
      </c>
      <c r="C12" s="1">
        <v>1758.38</v>
      </c>
      <c r="D12" s="1">
        <v>6937.5299999999988</v>
      </c>
      <c r="E12" s="1">
        <v>6455.58</v>
      </c>
      <c r="F12" s="1">
        <f t="shared" si="3"/>
        <v>4710.49</v>
      </c>
      <c r="G12" s="1">
        <f t="shared" si="3"/>
        <v>405.4</v>
      </c>
      <c r="H12" s="1">
        <f t="shared" si="3"/>
        <v>18.899999999999999</v>
      </c>
      <c r="I12" s="24">
        <f t="shared" si="3"/>
        <v>118.26507177033494</v>
      </c>
      <c r="J12" s="24">
        <f t="shared" ref="J12:M12" si="13">J45</f>
        <v>94.516746411483268</v>
      </c>
      <c r="K12" s="24">
        <f t="shared" si="13"/>
        <v>20.96842105263158</v>
      </c>
      <c r="L12" s="24">
        <f t="shared" si="13"/>
        <v>1.0722488038277513</v>
      </c>
      <c r="M12" s="24">
        <f t="shared" si="13"/>
        <v>295.3846889952153</v>
      </c>
      <c r="N12" s="12">
        <f t="shared" si="2"/>
        <v>190.9</v>
      </c>
    </row>
    <row r="13" spans="1:14" x14ac:dyDescent="0.3">
      <c r="A13" s="18">
        <v>2015</v>
      </c>
      <c r="B13" s="1">
        <f t="shared" si="3"/>
        <v>2957.9</v>
      </c>
      <c r="C13" s="1">
        <v>1869.7600000000002</v>
      </c>
      <c r="D13" s="1">
        <v>7445.52</v>
      </c>
      <c r="E13" s="1">
        <v>7249.0300000000007</v>
      </c>
      <c r="F13" s="1">
        <f t="shared" si="3"/>
        <v>4728.88</v>
      </c>
      <c r="G13" s="1">
        <f t="shared" si="3"/>
        <v>388.7</v>
      </c>
      <c r="H13" s="1">
        <f t="shared" si="3"/>
        <v>18.100000000000001</v>
      </c>
      <c r="I13" s="24">
        <f t="shared" si="3"/>
        <v>111.85814155449414</v>
      </c>
      <c r="J13" s="24">
        <f t="shared" ref="J13:M13" si="14">J46</f>
        <v>95.786799826313498</v>
      </c>
      <c r="K13" s="24">
        <f t="shared" si="14"/>
        <v>21.802518454190185</v>
      </c>
      <c r="L13" s="24">
        <f t="shared" si="14"/>
        <v>0.80156317846287439</v>
      </c>
      <c r="M13" s="24">
        <f t="shared" si="14"/>
        <v>288.96352583586628</v>
      </c>
      <c r="N13" s="12">
        <f t="shared" si="2"/>
        <v>184.6</v>
      </c>
    </row>
    <row r="14" spans="1:14" x14ac:dyDescent="0.3">
      <c r="A14" s="18">
        <v>2016</v>
      </c>
      <c r="B14" s="1">
        <f t="shared" si="3"/>
        <v>2970.15</v>
      </c>
      <c r="C14" s="1">
        <v>1978.19</v>
      </c>
      <c r="D14" s="1">
        <v>8021.89</v>
      </c>
      <c r="E14" s="1">
        <v>8160.1200000000008</v>
      </c>
      <c r="F14" s="1">
        <f t="shared" si="3"/>
        <v>4701.5099999999993</v>
      </c>
      <c r="G14" s="1">
        <f t="shared" si="3"/>
        <v>430.5</v>
      </c>
      <c r="H14" s="1">
        <f t="shared" si="3"/>
        <v>14.2</v>
      </c>
      <c r="I14" s="24">
        <f t="shared" si="3"/>
        <v>112.27563989408651</v>
      </c>
      <c r="J14" s="24">
        <f t="shared" ref="J14:M14" si="15">J47</f>
        <v>103.0298984995587</v>
      </c>
      <c r="K14" s="24">
        <f t="shared" si="15"/>
        <v>23.259466019417477</v>
      </c>
      <c r="L14" s="24">
        <f t="shared" si="15"/>
        <v>0.82921447484554289</v>
      </c>
      <c r="M14" s="24">
        <f t="shared" si="15"/>
        <v>299.71957193292144</v>
      </c>
      <c r="N14" s="12">
        <f t="shared" si="2"/>
        <v>187.9</v>
      </c>
    </row>
    <row r="15" spans="1:14" x14ac:dyDescent="0.3">
      <c r="A15" s="18">
        <v>2017</v>
      </c>
      <c r="B15" s="1">
        <f t="shared" si="3"/>
        <v>2987.39</v>
      </c>
      <c r="C15" s="1">
        <v>2109.73</v>
      </c>
      <c r="D15" s="1">
        <v>8980.7800000000007</v>
      </c>
      <c r="E15" s="1">
        <v>9178.25</v>
      </c>
      <c r="F15" s="1">
        <f t="shared" si="3"/>
        <v>4663.7299999999996</v>
      </c>
      <c r="G15" s="1">
        <f t="shared" si="3"/>
        <v>443.3</v>
      </c>
      <c r="H15" s="1">
        <f t="shared" si="3"/>
        <v>16.2</v>
      </c>
      <c r="I15" s="24">
        <f t="shared" si="3"/>
        <v>115.1550118051084</v>
      </c>
      <c r="J15" s="24">
        <f t="shared" ref="J15:M15" si="16">J48</f>
        <v>102.63816269585747</v>
      </c>
      <c r="K15" s="24">
        <f t="shared" si="16"/>
        <v>24.007726980038633</v>
      </c>
      <c r="L15" s="24">
        <f t="shared" si="16"/>
        <v>0.86181584030907921</v>
      </c>
      <c r="M15" s="24">
        <f t="shared" si="16"/>
        <v>302.7846318952565</v>
      </c>
      <c r="N15" s="12">
        <f t="shared" si="2"/>
        <v>191.2</v>
      </c>
    </row>
    <row r="16" spans="1:14" x14ac:dyDescent="0.3">
      <c r="A16" s="18">
        <v>2018</v>
      </c>
      <c r="B16" s="1">
        <f t="shared" si="3"/>
        <v>2992.03</v>
      </c>
      <c r="C16" s="1">
        <v>2189.9</v>
      </c>
      <c r="D16" s="1">
        <v>9243.5099999999984</v>
      </c>
      <c r="E16" s="1">
        <v>9932.57</v>
      </c>
      <c r="F16" s="1">
        <f t="shared" si="3"/>
        <v>4713.7700000000004</v>
      </c>
      <c r="G16" s="1">
        <f t="shared" si="3"/>
        <v>414.46208484411858</v>
      </c>
      <c r="H16" s="1">
        <f t="shared" si="3"/>
        <v>30.33985384922693</v>
      </c>
      <c r="I16" s="24">
        <f t="shared" si="3"/>
        <v>97.916630466099079</v>
      </c>
      <c r="J16" s="24">
        <f t="shared" ref="J16:M16" si="17">J49</f>
        <v>91.43184813373027</v>
      </c>
      <c r="K16" s="24">
        <f t="shared" si="17"/>
        <v>21.854791285883802</v>
      </c>
      <c r="L16" s="24">
        <f t="shared" si="17"/>
        <v>0.89568816745425417</v>
      </c>
      <c r="M16" s="24">
        <f t="shared" si="17"/>
        <v>263.79807907862693</v>
      </c>
      <c r="N16" s="12">
        <f t="shared" si="2"/>
        <v>164.87827786497911</v>
      </c>
    </row>
    <row r="17" spans="1:14" x14ac:dyDescent="0.3">
      <c r="A17" s="18">
        <v>2019</v>
      </c>
      <c r="B17" s="1">
        <f t="shared" si="3"/>
        <v>2997.58</v>
      </c>
      <c r="C17" s="1">
        <v>2376.23</v>
      </c>
      <c r="D17" s="1">
        <v>9562.44</v>
      </c>
      <c r="E17" s="1">
        <v>11024.68</v>
      </c>
      <c r="F17" s="1">
        <f t="shared" si="3"/>
        <v>4717.45</v>
      </c>
      <c r="G17" s="1">
        <f t="shared" si="3"/>
        <v>458.61340716900486</v>
      </c>
      <c r="H17" s="1">
        <f t="shared" si="3"/>
        <v>28.743019436109719</v>
      </c>
      <c r="I17" s="24">
        <f t="shared" si="3"/>
        <v>108.59323342215379</v>
      </c>
      <c r="J17" s="24">
        <f t="shared" ref="J17:M17" si="18">J50</f>
        <v>88.959748791556535</v>
      </c>
      <c r="K17" s="24">
        <f t="shared" si="18"/>
        <v>22.929617086828909</v>
      </c>
      <c r="L17" s="24">
        <f t="shared" si="18"/>
        <v>1.3256184878322963</v>
      </c>
      <c r="M17" s="24">
        <f t="shared" si="18"/>
        <v>275.19123256864503</v>
      </c>
      <c r="N17" s="12">
        <f t="shared" si="2"/>
        <v>176.77301672877161</v>
      </c>
    </row>
    <row r="18" spans="1:14" x14ac:dyDescent="0.3">
      <c r="A18" s="18">
        <v>2020</v>
      </c>
      <c r="B18" s="1">
        <f t="shared" si="3"/>
        <v>2994.2900000000004</v>
      </c>
      <c r="C18" s="1">
        <v>2517.0800000000004</v>
      </c>
      <c r="D18" s="1">
        <v>9681.67</v>
      </c>
      <c r="E18" s="1">
        <v>11639.210000000003</v>
      </c>
      <c r="F18" s="1">
        <f t="shared" si="3"/>
        <v>4758.7700000000004</v>
      </c>
      <c r="G18" s="1">
        <f t="shared" si="3"/>
        <v>391.8</v>
      </c>
      <c r="H18" s="1">
        <f t="shared" si="3"/>
        <v>11.7</v>
      </c>
      <c r="I18" s="24">
        <f t="shared" si="3"/>
        <v>98.289242323834785</v>
      </c>
      <c r="J18" s="24">
        <f t="shared" ref="J18:M18" si="19">J51</f>
        <v>87.339540534570361</v>
      </c>
      <c r="K18" s="24">
        <f t="shared" si="19"/>
        <v>23.48471393859068</v>
      </c>
      <c r="L18" s="24">
        <f t="shared" si="19"/>
        <v>1.7696487740225315</v>
      </c>
      <c r="M18" s="24">
        <f t="shared" si="19"/>
        <v>248.89372652971065</v>
      </c>
      <c r="N18" s="12">
        <f t="shared" si="2"/>
        <v>166.9</v>
      </c>
    </row>
    <row r="19" spans="1:14" x14ac:dyDescent="0.3">
      <c r="A19" s="18">
        <v>2021</v>
      </c>
      <c r="B19" s="1">
        <f t="shared" si="3"/>
        <v>2990.47</v>
      </c>
      <c r="C19" s="1">
        <v>2653.58</v>
      </c>
      <c r="D19" s="1">
        <v>11190.589999999998</v>
      </c>
      <c r="E19" s="1">
        <v>12887.72</v>
      </c>
      <c r="F19" s="1">
        <f t="shared" si="3"/>
        <v>4768</v>
      </c>
      <c r="G19" s="1">
        <f t="shared" si="3"/>
        <v>381.71088513266028</v>
      </c>
      <c r="H19" s="1">
        <f t="shared" si="3"/>
        <v>17.21032645248545</v>
      </c>
      <c r="I19" s="24">
        <f t="shared" si="3"/>
        <v>71.352889358703308</v>
      </c>
      <c r="J19" s="24">
        <f t="shared" ref="J19:M19" si="20">J52</f>
        <v>72.512156448202958</v>
      </c>
      <c r="K19" s="24">
        <f t="shared" si="20"/>
        <v>19.156888653981675</v>
      </c>
      <c r="L19" s="24">
        <f t="shared" si="20"/>
        <v>1.4780655391120505</v>
      </c>
      <c r="M19" s="24">
        <f t="shared" si="20"/>
        <v>193.71353065539111</v>
      </c>
      <c r="N19" s="12">
        <f t="shared" si="2"/>
        <v>164.5</v>
      </c>
    </row>
    <row r="20" spans="1:14" x14ac:dyDescent="0.3">
      <c r="A20" s="18">
        <v>2022</v>
      </c>
      <c r="B20" s="1">
        <f t="shared" si="3"/>
        <v>2983.71</v>
      </c>
      <c r="C20" s="1">
        <v>2809.8900000000003</v>
      </c>
      <c r="D20" s="1">
        <v>12191.13</v>
      </c>
      <c r="E20" s="1">
        <v>13396.029999999999</v>
      </c>
      <c r="F20" s="1">
        <f t="shared" si="3"/>
        <v>4783.75</v>
      </c>
      <c r="G20" s="1">
        <f t="shared" si="3"/>
        <v>459.96596408924211</v>
      </c>
      <c r="H20" s="1">
        <f t="shared" si="3"/>
        <v>15.790918085270157</v>
      </c>
      <c r="I20" s="24">
        <f t="shared" si="3"/>
        <v>90.766492317750917</v>
      </c>
      <c r="J20" s="24">
        <f t="shared" ref="J20:M20" si="21">J53</f>
        <v>77.967718208564904</v>
      </c>
      <c r="K20" s="24">
        <f t="shared" si="21"/>
        <v>20.833736515201046</v>
      </c>
      <c r="L20" s="24">
        <f t="shared" si="21"/>
        <v>4.7320529584831652</v>
      </c>
      <c r="M20" s="24">
        <f t="shared" si="21"/>
        <v>228.31361556064073</v>
      </c>
      <c r="N20" s="12">
        <f t="shared" si="2"/>
        <v>194.3</v>
      </c>
    </row>
    <row r="21" spans="1:14" x14ac:dyDescent="0.3">
      <c r="A21" s="18">
        <v>2023</v>
      </c>
      <c r="B21" s="1">
        <f t="shared" si="3"/>
        <v>2981.85</v>
      </c>
      <c r="C21" s="1">
        <v>2877.83</v>
      </c>
      <c r="D21" s="1">
        <v>12580.36</v>
      </c>
      <c r="E21" s="1">
        <v>14622.86</v>
      </c>
      <c r="F21" s="1">
        <f t="shared" si="3"/>
        <v>4799.0600000000004</v>
      </c>
      <c r="G21" s="1">
        <f t="shared" si="3"/>
        <v>386.63805677066728</v>
      </c>
      <c r="H21" s="1">
        <f t="shared" si="3"/>
        <v>15.7022050623192</v>
      </c>
      <c r="I21" s="24">
        <f t="shared" si="3"/>
        <v>69.303465173258672</v>
      </c>
      <c r="J21" s="24">
        <f t="shared" ref="J21:M21" si="22">J54</f>
        <v>72.739761988099403</v>
      </c>
      <c r="K21" s="24">
        <f t="shared" si="22"/>
        <v>19.058452922646133</v>
      </c>
      <c r="L21" s="24">
        <f t="shared" si="22"/>
        <v>3.8694434721736086</v>
      </c>
      <c r="M21" s="24">
        <f t="shared" si="22"/>
        <v>193.6454322716136</v>
      </c>
      <c r="N21" s="12">
        <f t="shared" si="2"/>
        <v>165</v>
      </c>
    </row>
    <row r="22" spans="1:14" x14ac:dyDescent="0.2">
      <c r="A22" s="17">
        <v>1</v>
      </c>
      <c r="B22" s="17">
        <v>2</v>
      </c>
      <c r="C22" s="17">
        <v>3</v>
      </c>
      <c r="D22" s="17">
        <v>4</v>
      </c>
      <c r="E22" s="17">
        <v>5</v>
      </c>
      <c r="F22" s="17">
        <v>6</v>
      </c>
      <c r="G22" s="17">
        <v>7</v>
      </c>
      <c r="H22" s="17">
        <v>8</v>
      </c>
      <c r="I22" s="17">
        <v>9</v>
      </c>
      <c r="J22" s="17">
        <v>10</v>
      </c>
      <c r="K22" s="17">
        <v>11</v>
      </c>
      <c r="L22" s="17">
        <v>12</v>
      </c>
      <c r="M22" s="17">
        <v>13</v>
      </c>
      <c r="N22" s="17">
        <v>14</v>
      </c>
    </row>
    <row r="23" spans="1:14" ht="37.5" x14ac:dyDescent="0.2">
      <c r="B23" s="19" t="s">
        <v>55</v>
      </c>
      <c r="C23" s="6" t="s">
        <v>78</v>
      </c>
      <c r="D23" s="6" t="s">
        <v>79</v>
      </c>
      <c r="E23" s="6" t="s">
        <v>80</v>
      </c>
      <c r="F23" s="19" t="s">
        <v>37</v>
      </c>
      <c r="G23" s="19" t="s">
        <v>56</v>
      </c>
      <c r="H23" s="19" t="s">
        <v>57</v>
      </c>
      <c r="I23" s="17" t="s">
        <v>70</v>
      </c>
      <c r="J23" s="17" t="s">
        <v>71</v>
      </c>
      <c r="K23" s="17" t="s">
        <v>72</v>
      </c>
      <c r="L23" s="17" t="s">
        <v>73</v>
      </c>
      <c r="M23" s="17" t="s">
        <v>74</v>
      </c>
    </row>
    <row r="24" spans="1:14" x14ac:dyDescent="0.2">
      <c r="B24" s="19"/>
      <c r="C24" s="19"/>
      <c r="D24" s="19"/>
      <c r="E24" s="19"/>
      <c r="F24" s="19"/>
      <c r="G24" s="19"/>
      <c r="H24" s="19"/>
    </row>
    <row r="34" spans="1:15" ht="20.25" x14ac:dyDescent="0.2">
      <c r="A34" s="16" t="s">
        <v>59</v>
      </c>
      <c r="B34" s="6" t="s">
        <v>49</v>
      </c>
      <c r="C34" s="6" t="s">
        <v>50</v>
      </c>
      <c r="D34" s="6"/>
      <c r="E34" s="6"/>
      <c r="F34" s="6" t="s">
        <v>51</v>
      </c>
      <c r="G34" s="6" t="s">
        <v>52</v>
      </c>
      <c r="H34" s="6" t="s">
        <v>53</v>
      </c>
      <c r="I34" s="6" t="s">
        <v>65</v>
      </c>
      <c r="J34" s="6" t="s">
        <v>66</v>
      </c>
      <c r="K34" s="6" t="s">
        <v>67</v>
      </c>
      <c r="L34" s="6" t="s">
        <v>68</v>
      </c>
      <c r="M34" s="6" t="s">
        <v>69</v>
      </c>
      <c r="N34" s="8" t="s">
        <v>58</v>
      </c>
      <c r="O34" s="8" t="s">
        <v>58</v>
      </c>
    </row>
    <row r="35" spans="1:15" x14ac:dyDescent="0.3">
      <c r="A35" s="17">
        <v>2004</v>
      </c>
      <c r="B35" s="1">
        <v>3145.13</v>
      </c>
      <c r="C35" s="9">
        <v>1399.92</v>
      </c>
      <c r="D35" s="9"/>
      <c r="E35" s="9"/>
      <c r="F35" s="2">
        <v>4601.3999999999996</v>
      </c>
      <c r="G35" s="3">
        <v>490.30188358599111</v>
      </c>
      <c r="H35" s="14">
        <v>30.073714780374061</v>
      </c>
      <c r="I35" s="24">
        <v>103.36241452422094</v>
      </c>
      <c r="J35" s="24">
        <v>65.421063750858735</v>
      </c>
      <c r="K35" s="24">
        <v>14.545975839457091</v>
      </c>
      <c r="L35" s="24">
        <v>4.9800262110456535</v>
      </c>
      <c r="M35" s="24">
        <v>253.33644128276131</v>
      </c>
      <c r="N35" s="12">
        <f t="shared" ref="N35:N54" si="23">O35</f>
        <v>188.30948032558243</v>
      </c>
      <c r="O35" s="12">
        <v>188.30948032558243</v>
      </c>
    </row>
    <row r="36" spans="1:15" x14ac:dyDescent="0.3">
      <c r="A36" s="18">
        <v>2005</v>
      </c>
      <c r="B36" s="1">
        <v>3111</v>
      </c>
      <c r="C36" s="9">
        <v>3745.19</v>
      </c>
      <c r="D36" s="9"/>
      <c r="E36" s="9"/>
      <c r="F36" s="2">
        <v>4601</v>
      </c>
      <c r="G36" s="3">
        <v>482.95943173327476</v>
      </c>
      <c r="H36" s="14">
        <v>28.565593390207813</v>
      </c>
      <c r="I36" s="24">
        <v>94.513015429772906</v>
      </c>
      <c r="J36" s="24">
        <v>74.485428005495791</v>
      </c>
      <c r="K36" s="24">
        <v>15.441664006911344</v>
      </c>
      <c r="L36" s="24">
        <v>1.7913763349085083</v>
      </c>
      <c r="M36" s="24">
        <v>249.86117119303876</v>
      </c>
      <c r="N36" s="12">
        <f t="shared" si="23"/>
        <v>186.19565625039039</v>
      </c>
      <c r="O36" s="12">
        <v>186.19565625039039</v>
      </c>
    </row>
    <row r="37" spans="1:15" x14ac:dyDescent="0.3">
      <c r="A37" s="18">
        <v>2006</v>
      </c>
      <c r="B37" s="1">
        <v>3076.87</v>
      </c>
      <c r="C37" s="9">
        <v>4450</v>
      </c>
      <c r="D37" s="9"/>
      <c r="E37" s="9"/>
      <c r="F37" s="2">
        <v>4459.5</v>
      </c>
      <c r="G37" s="3">
        <v>475.61697988055846</v>
      </c>
      <c r="H37" s="14">
        <v>27.05747200004156</v>
      </c>
      <c r="I37" s="24">
        <v>96.985114771946641</v>
      </c>
      <c r="J37" s="24">
        <v>78.928041316068871</v>
      </c>
      <c r="K37" s="24">
        <v>16.516489807856448</v>
      </c>
      <c r="L37" s="24">
        <v>3.2961324562316552</v>
      </c>
      <c r="M37" s="24">
        <v>260.57360167579162</v>
      </c>
      <c r="N37" s="12">
        <f t="shared" si="23"/>
        <v>195.76160587880179</v>
      </c>
      <c r="O37" s="12">
        <v>195.76160587880179</v>
      </c>
    </row>
    <row r="38" spans="1:15" x14ac:dyDescent="0.3">
      <c r="A38" s="18">
        <v>2007</v>
      </c>
      <c r="B38" s="1">
        <v>3042.77</v>
      </c>
      <c r="C38" s="9">
        <v>5287.57</v>
      </c>
      <c r="D38" s="9"/>
      <c r="E38" s="9"/>
      <c r="F38" s="2">
        <v>4460</v>
      </c>
      <c r="G38" s="3">
        <v>468.27452802784217</v>
      </c>
      <c r="H38" s="14">
        <v>25.549350609875308</v>
      </c>
      <c r="I38" s="24">
        <v>96.196909184586914</v>
      </c>
      <c r="J38" s="24">
        <v>80.719417650977391</v>
      </c>
      <c r="K38" s="24">
        <v>17.340522921914364</v>
      </c>
      <c r="L38" s="24">
        <v>5.8040593251035677</v>
      </c>
      <c r="M38" s="24">
        <v>263.65476897183424</v>
      </c>
      <c r="N38" s="12">
        <f t="shared" si="23"/>
        <v>200.02508155588404</v>
      </c>
      <c r="O38" s="12">
        <v>200.02508155588404</v>
      </c>
    </row>
    <row r="39" spans="1:15" x14ac:dyDescent="0.3">
      <c r="A39" s="18">
        <v>2008</v>
      </c>
      <c r="B39" s="1">
        <v>3023.97</v>
      </c>
      <c r="C39" s="9">
        <v>6346.29</v>
      </c>
      <c r="D39" s="9"/>
      <c r="E39" s="9"/>
      <c r="F39" s="2">
        <v>4556</v>
      </c>
      <c r="G39" s="3">
        <v>460.93207617512587</v>
      </c>
      <c r="H39" s="14">
        <v>24.041229219709059</v>
      </c>
      <c r="I39" s="24">
        <v>102.9324842038429</v>
      </c>
      <c r="J39" s="24">
        <v>75.022840905968337</v>
      </c>
      <c r="K39" s="24">
        <v>17.734625715594234</v>
      </c>
      <c r="L39" s="24">
        <v>4.3351307304785909</v>
      </c>
      <c r="M39" s="24">
        <v>261.43346231654778</v>
      </c>
      <c r="N39" s="12">
        <f t="shared" si="23"/>
        <v>200.02508155588404</v>
      </c>
      <c r="O39" s="12">
        <v>200.02508155588404</v>
      </c>
    </row>
    <row r="40" spans="1:15" x14ac:dyDescent="0.3">
      <c r="A40" s="18">
        <v>2009</v>
      </c>
      <c r="B40" s="1">
        <v>3015.02</v>
      </c>
      <c r="C40" s="9">
        <v>7196.89</v>
      </c>
      <c r="D40" s="9"/>
      <c r="E40" s="9"/>
      <c r="F40" s="2">
        <v>4601.2</v>
      </c>
      <c r="G40" s="3">
        <v>453.58962432240952</v>
      </c>
      <c r="H40" s="14">
        <v>22.533107829542807</v>
      </c>
      <c r="I40" s="24">
        <v>107.51840762120869</v>
      </c>
      <c r="J40" s="24">
        <v>69.684539427940976</v>
      </c>
      <c r="K40" s="24">
        <v>18.415348722859466</v>
      </c>
      <c r="L40" s="24">
        <v>1.1464808543414455</v>
      </c>
      <c r="M40" s="24">
        <v>255.5219204113497</v>
      </c>
      <c r="N40" s="12">
        <f t="shared" si="23"/>
        <v>196.7647766263506</v>
      </c>
      <c r="O40" s="12">
        <v>196.7647766263506</v>
      </c>
    </row>
    <row r="41" spans="1:15" x14ac:dyDescent="0.3">
      <c r="A41" s="18">
        <v>2010</v>
      </c>
      <c r="B41" s="1">
        <v>2977</v>
      </c>
      <c r="C41" s="9">
        <v>8920.3700000000008</v>
      </c>
      <c r="D41" s="9"/>
      <c r="E41" s="9"/>
      <c r="F41" s="2">
        <v>4660.6000000000004</v>
      </c>
      <c r="G41" s="4">
        <v>447</v>
      </c>
      <c r="H41" s="15">
        <v>30</v>
      </c>
      <c r="I41" s="24">
        <v>105.38475190148496</v>
      </c>
      <c r="J41" s="24">
        <v>66.480387540746108</v>
      </c>
      <c r="K41" s="24">
        <v>18.326276711336472</v>
      </c>
      <c r="L41" s="24">
        <v>1.108583846432452</v>
      </c>
      <c r="M41" s="24">
        <v>244.02701919594347</v>
      </c>
      <c r="N41" s="12">
        <f t="shared" si="23"/>
        <v>191.3</v>
      </c>
      <c r="O41" s="13">
        <v>191.3</v>
      </c>
    </row>
    <row r="42" spans="1:15" x14ac:dyDescent="0.3">
      <c r="A42" s="18">
        <v>2011</v>
      </c>
      <c r="B42" s="1">
        <v>2956.6</v>
      </c>
      <c r="C42" s="9">
        <v>10744.32</v>
      </c>
      <c r="D42" s="9"/>
      <c r="E42" s="9"/>
      <c r="F42" s="2">
        <v>4696.7</v>
      </c>
      <c r="G42" s="4">
        <v>442</v>
      </c>
      <c r="H42" s="15">
        <v>27</v>
      </c>
      <c r="I42" s="24">
        <v>106.40460266091334</v>
      </c>
      <c r="J42" s="24">
        <v>66.727723840345192</v>
      </c>
      <c r="K42" s="24">
        <v>18.126141675656239</v>
      </c>
      <c r="L42" s="24">
        <v>1.1415318230852209</v>
      </c>
      <c r="M42" s="24">
        <v>244.01107515282268</v>
      </c>
      <c r="N42" s="12">
        <f t="shared" si="23"/>
        <v>192.4</v>
      </c>
      <c r="O42" s="13">
        <v>192.4</v>
      </c>
    </row>
    <row r="43" spans="1:15" x14ac:dyDescent="0.3">
      <c r="A43" s="18">
        <v>2012</v>
      </c>
      <c r="B43" s="1">
        <v>2943.7300000000005</v>
      </c>
      <c r="C43" s="9">
        <v>12182.94</v>
      </c>
      <c r="D43" s="9"/>
      <c r="E43" s="9"/>
      <c r="F43" s="2">
        <v>4706.1000000000004</v>
      </c>
      <c r="G43" s="4">
        <v>397</v>
      </c>
      <c r="H43" s="15">
        <v>20</v>
      </c>
      <c r="I43" s="24">
        <v>104.8049619703006</v>
      </c>
      <c r="J43" s="24">
        <v>66.266660630206431</v>
      </c>
      <c r="K43" s="24">
        <v>17.330224556320172</v>
      </c>
      <c r="L43" s="24">
        <v>1.1324701195219122</v>
      </c>
      <c r="M43" s="24">
        <v>239.6032234697573</v>
      </c>
      <c r="N43" s="12">
        <f t="shared" si="23"/>
        <v>189.5</v>
      </c>
      <c r="O43" s="13">
        <v>189.5</v>
      </c>
    </row>
    <row r="44" spans="1:15" x14ac:dyDescent="0.3">
      <c r="A44" s="18">
        <v>2013</v>
      </c>
      <c r="B44" s="1">
        <v>2940.49</v>
      </c>
      <c r="C44" s="9">
        <v>13558.880000000001</v>
      </c>
      <c r="D44" s="9"/>
      <c r="E44" s="9"/>
      <c r="F44" s="2">
        <v>4720.59</v>
      </c>
      <c r="G44" s="4">
        <v>417</v>
      </c>
      <c r="H44" s="15">
        <v>21.4</v>
      </c>
      <c r="I44" s="24">
        <v>113.52262978552815</v>
      </c>
      <c r="J44" s="24">
        <v>82.763599919823605</v>
      </c>
      <c r="K44" s="24">
        <v>19.327801162557627</v>
      </c>
      <c r="L44" s="24">
        <v>1.2032872319102026</v>
      </c>
      <c r="M44" s="24">
        <v>273.48462617759066</v>
      </c>
      <c r="N44" s="12">
        <f t="shared" si="23"/>
        <v>187.6</v>
      </c>
      <c r="O44" s="13">
        <v>187.6</v>
      </c>
    </row>
    <row r="45" spans="1:15" x14ac:dyDescent="0.3">
      <c r="A45" s="18">
        <v>2014</v>
      </c>
      <c r="B45" s="1">
        <v>2952.06</v>
      </c>
      <c r="C45" s="9">
        <v>15151.490000000002</v>
      </c>
      <c r="D45" s="9"/>
      <c r="E45" s="9"/>
      <c r="F45" s="2">
        <v>4710.49</v>
      </c>
      <c r="G45" s="4">
        <v>405.4</v>
      </c>
      <c r="H45" s="15">
        <v>18.899999999999999</v>
      </c>
      <c r="I45" s="24">
        <v>118.26507177033494</v>
      </c>
      <c r="J45" s="24">
        <v>94.516746411483268</v>
      </c>
      <c r="K45" s="24">
        <v>20.96842105263158</v>
      </c>
      <c r="L45" s="24">
        <v>1.0722488038277513</v>
      </c>
      <c r="M45" s="24">
        <v>295.3846889952153</v>
      </c>
      <c r="N45" s="12">
        <f t="shared" si="23"/>
        <v>190.9</v>
      </c>
      <c r="O45" s="13">
        <v>190.9</v>
      </c>
    </row>
    <row r="46" spans="1:15" x14ac:dyDescent="0.3">
      <c r="A46" s="18">
        <v>2015</v>
      </c>
      <c r="B46" s="1">
        <v>2957.9</v>
      </c>
      <c r="C46" s="9">
        <v>16564.3</v>
      </c>
      <c r="D46" s="9"/>
      <c r="E46" s="9"/>
      <c r="F46" s="2">
        <v>4728.88</v>
      </c>
      <c r="G46" s="4">
        <v>388.7</v>
      </c>
      <c r="H46" s="15">
        <v>18.100000000000001</v>
      </c>
      <c r="I46" s="24">
        <v>111.85814155449414</v>
      </c>
      <c r="J46" s="24">
        <v>95.786799826313498</v>
      </c>
      <c r="K46" s="24">
        <v>21.802518454190185</v>
      </c>
      <c r="L46" s="24">
        <v>0.80156317846287439</v>
      </c>
      <c r="M46" s="24">
        <v>288.96352583586628</v>
      </c>
      <c r="N46" s="12">
        <f t="shared" si="23"/>
        <v>184.6</v>
      </c>
      <c r="O46" s="13">
        <v>184.6</v>
      </c>
    </row>
    <row r="47" spans="1:15" x14ac:dyDescent="0.3">
      <c r="A47" s="18">
        <v>2016</v>
      </c>
      <c r="B47" s="1">
        <v>2970.15</v>
      </c>
      <c r="C47" s="9">
        <v>18160.2</v>
      </c>
      <c r="D47" s="9"/>
      <c r="E47" s="9"/>
      <c r="F47" s="2">
        <v>4701.5099999999993</v>
      </c>
      <c r="G47" s="4">
        <v>430.5</v>
      </c>
      <c r="H47" s="15">
        <v>14.2</v>
      </c>
      <c r="I47" s="24">
        <v>112.27563989408651</v>
      </c>
      <c r="J47" s="24">
        <v>103.0298984995587</v>
      </c>
      <c r="K47" s="24">
        <v>23.259466019417477</v>
      </c>
      <c r="L47" s="24">
        <v>0.82921447484554289</v>
      </c>
      <c r="M47" s="24">
        <v>299.71957193292144</v>
      </c>
      <c r="N47" s="12">
        <f t="shared" si="23"/>
        <v>187.9</v>
      </c>
      <c r="O47" s="13">
        <v>187.9</v>
      </c>
    </row>
    <row r="48" spans="1:15" x14ac:dyDescent="0.3">
      <c r="A48" s="18">
        <v>2017</v>
      </c>
      <c r="B48" s="1">
        <v>2987.39</v>
      </c>
      <c r="C48" s="9">
        <v>20268.769999999997</v>
      </c>
      <c r="D48" s="9"/>
      <c r="E48" s="9"/>
      <c r="F48" s="2">
        <v>4663.7299999999996</v>
      </c>
      <c r="G48" s="4">
        <v>443.3</v>
      </c>
      <c r="H48" s="15">
        <v>16.2</v>
      </c>
      <c r="I48" s="24">
        <v>115.1550118051084</v>
      </c>
      <c r="J48" s="24">
        <v>102.63816269585747</v>
      </c>
      <c r="K48" s="24">
        <v>24.007726980038633</v>
      </c>
      <c r="L48" s="24">
        <v>0.86181584030907921</v>
      </c>
      <c r="M48" s="24">
        <v>302.7846318952565</v>
      </c>
      <c r="N48" s="12">
        <f t="shared" si="23"/>
        <v>191.2</v>
      </c>
      <c r="O48" s="13">
        <v>191.2</v>
      </c>
    </row>
    <row r="49" spans="1:15" x14ac:dyDescent="0.3">
      <c r="A49" s="18">
        <v>2018</v>
      </c>
      <c r="B49" s="1">
        <v>2992.03</v>
      </c>
      <c r="C49" s="9">
        <v>21365.980000000003</v>
      </c>
      <c r="D49" s="9"/>
      <c r="E49" s="9"/>
      <c r="F49" s="2">
        <v>4713.7700000000004</v>
      </c>
      <c r="G49" s="4">
        <v>414.46208484411858</v>
      </c>
      <c r="H49" s="15">
        <v>30.33985384922693</v>
      </c>
      <c r="I49" s="24">
        <v>97.916630466099079</v>
      </c>
      <c r="J49" s="24">
        <v>91.43184813373027</v>
      </c>
      <c r="K49" s="24">
        <v>21.854791285883802</v>
      </c>
      <c r="L49" s="24">
        <v>0.89568816745425417</v>
      </c>
      <c r="M49" s="24">
        <v>263.79807907862693</v>
      </c>
      <c r="N49" s="12">
        <f t="shared" si="23"/>
        <v>164.87827786497911</v>
      </c>
      <c r="O49" s="13">
        <v>164.87827786497911</v>
      </c>
    </row>
    <row r="50" spans="1:15" x14ac:dyDescent="0.3">
      <c r="A50" s="18">
        <v>2019</v>
      </c>
      <c r="B50" s="1">
        <v>2997.58</v>
      </c>
      <c r="C50" s="9">
        <v>22963.34</v>
      </c>
      <c r="D50" s="9"/>
      <c r="E50" s="9"/>
      <c r="F50" s="2">
        <v>4717.45</v>
      </c>
      <c r="G50" s="4">
        <v>458.61340716900486</v>
      </c>
      <c r="H50" s="15">
        <v>28.743019436109719</v>
      </c>
      <c r="I50" s="24">
        <v>108.59323342215379</v>
      </c>
      <c r="J50" s="24">
        <v>88.959748791556535</v>
      </c>
      <c r="K50" s="24">
        <v>22.929617086828909</v>
      </c>
      <c r="L50" s="24">
        <v>1.3256184878322963</v>
      </c>
      <c r="M50" s="24">
        <v>275.19123256864503</v>
      </c>
      <c r="N50" s="12">
        <f t="shared" si="23"/>
        <v>176.77301672877161</v>
      </c>
      <c r="O50" s="13">
        <v>176.77301672877161</v>
      </c>
    </row>
    <row r="51" spans="1:15" x14ac:dyDescent="0.3">
      <c r="A51" s="18">
        <v>2020</v>
      </c>
      <c r="B51" s="5">
        <v>2994.2900000000004</v>
      </c>
      <c r="C51" s="9">
        <v>23837.96</v>
      </c>
      <c r="D51" s="9"/>
      <c r="E51" s="9"/>
      <c r="F51" s="2">
        <v>4758.7700000000004</v>
      </c>
      <c r="G51" s="4">
        <v>391.8</v>
      </c>
      <c r="H51" s="15">
        <v>11.7</v>
      </c>
      <c r="I51" s="24">
        <v>98.289242323834785</v>
      </c>
      <c r="J51" s="24">
        <v>87.339540534570361</v>
      </c>
      <c r="K51" s="24">
        <v>23.48471393859068</v>
      </c>
      <c r="L51" s="24">
        <v>1.7696487740225315</v>
      </c>
      <c r="M51" s="24">
        <v>248.89372652971065</v>
      </c>
      <c r="N51" s="12">
        <f t="shared" si="23"/>
        <v>166.9</v>
      </c>
      <c r="O51" s="13">
        <v>166.9</v>
      </c>
    </row>
    <row r="52" spans="1:15" x14ac:dyDescent="0.3">
      <c r="A52" s="18">
        <v>2021</v>
      </c>
      <c r="B52" s="5">
        <v>2990.47</v>
      </c>
      <c r="C52" s="9">
        <v>26731.89</v>
      </c>
      <c r="D52" s="9"/>
      <c r="E52" s="9"/>
      <c r="F52" s="2">
        <v>4768</v>
      </c>
      <c r="G52" s="4">
        <v>381.71088513266028</v>
      </c>
      <c r="H52" s="15">
        <v>17.21032645248545</v>
      </c>
      <c r="I52" s="24">
        <v>71.352889358703308</v>
      </c>
      <c r="J52" s="24">
        <v>72.512156448202958</v>
      </c>
      <c r="K52" s="24">
        <v>19.156888653981675</v>
      </c>
      <c r="L52" s="24">
        <v>1.4780655391120505</v>
      </c>
      <c r="M52" s="24">
        <v>193.71353065539111</v>
      </c>
      <c r="N52" s="12">
        <f t="shared" si="23"/>
        <v>164.5</v>
      </c>
      <c r="O52" s="13">
        <v>164.5</v>
      </c>
    </row>
    <row r="53" spans="1:15" x14ac:dyDescent="0.3">
      <c r="A53" s="18">
        <v>2022</v>
      </c>
      <c r="B53" s="5">
        <v>2983.71</v>
      </c>
      <c r="C53" s="10">
        <v>28397.05</v>
      </c>
      <c r="D53" s="10"/>
      <c r="E53" s="10"/>
      <c r="F53" s="2">
        <v>4783.75</v>
      </c>
      <c r="G53" s="4">
        <v>459.96596408924211</v>
      </c>
      <c r="H53" s="15">
        <v>15.790918085270157</v>
      </c>
      <c r="I53" s="24">
        <v>90.766492317750917</v>
      </c>
      <c r="J53" s="24">
        <v>77.967718208564904</v>
      </c>
      <c r="K53" s="24">
        <v>20.833736515201046</v>
      </c>
      <c r="L53" s="24">
        <v>4.7320529584831652</v>
      </c>
      <c r="M53" s="24">
        <v>228.31361556064073</v>
      </c>
      <c r="N53" s="12">
        <f t="shared" si="23"/>
        <v>194.3</v>
      </c>
      <c r="O53" s="13">
        <v>194.3</v>
      </c>
    </row>
    <row r="54" spans="1:15" x14ac:dyDescent="0.3">
      <c r="A54" s="17">
        <v>2023</v>
      </c>
      <c r="B54" s="5">
        <v>2981.85</v>
      </c>
      <c r="C54" s="10">
        <v>30081.05</v>
      </c>
      <c r="D54" s="10"/>
      <c r="E54" s="10"/>
      <c r="F54" s="2">
        <v>4799.0600000000004</v>
      </c>
      <c r="G54" s="4">
        <v>386.63805677066728</v>
      </c>
      <c r="H54" s="15">
        <v>15.7022050623192</v>
      </c>
      <c r="I54" s="24">
        <v>69.303465173258672</v>
      </c>
      <c r="J54" s="24">
        <v>72.739761988099403</v>
      </c>
      <c r="K54" s="24">
        <v>19.058452922646133</v>
      </c>
      <c r="L54" s="24">
        <v>3.8694434721736086</v>
      </c>
      <c r="M54" s="24">
        <v>193.6454322716136</v>
      </c>
      <c r="N54" s="12">
        <f t="shared" si="23"/>
        <v>165</v>
      </c>
      <c r="O54" s="13">
        <v>165</v>
      </c>
    </row>
    <row r="58" spans="1:15" ht="45" customHeight="1" x14ac:dyDescent="0.2">
      <c r="B58" s="25" t="s">
        <v>64</v>
      </c>
      <c r="C58" s="25"/>
      <c r="D58" s="25"/>
      <c r="E58" s="25"/>
      <c r="F58" s="25"/>
      <c r="G58" s="25"/>
      <c r="H58" s="25"/>
    </row>
    <row r="59" spans="1:15" ht="37.5" x14ac:dyDescent="0.2">
      <c r="B59" s="19" t="s">
        <v>55</v>
      </c>
      <c r="C59" s="20" t="s">
        <v>54</v>
      </c>
      <c r="D59" s="20"/>
      <c r="E59" s="20"/>
      <c r="F59" s="19" t="s">
        <v>37</v>
      </c>
      <c r="G59" s="19" t="s">
        <v>56</v>
      </c>
      <c r="H59" s="19" t="s">
        <v>57</v>
      </c>
    </row>
    <row r="60" spans="1:15" x14ac:dyDescent="0.2">
      <c r="B60" s="23">
        <f>B36-B35</f>
        <v>-34.130000000000109</v>
      </c>
      <c r="C60" s="23">
        <f t="shared" ref="C60:H60" si="24">C36-C35</f>
        <v>2345.27</v>
      </c>
      <c r="D60" s="23"/>
      <c r="E60" s="23"/>
      <c r="F60" s="23">
        <f t="shared" si="24"/>
        <v>-0.3999999999996362</v>
      </c>
      <c r="G60" s="23">
        <f t="shared" si="24"/>
        <v>-7.3424518527163514</v>
      </c>
      <c r="H60" s="23">
        <f t="shared" si="24"/>
        <v>-1.5081213901662487</v>
      </c>
    </row>
    <row r="61" spans="1:15" x14ac:dyDescent="0.2">
      <c r="B61" s="23">
        <f t="shared" ref="B61:H78" si="25">B37-B36</f>
        <v>-34.130000000000109</v>
      </c>
      <c r="C61" s="23">
        <f t="shared" si="25"/>
        <v>704.81</v>
      </c>
      <c r="D61" s="23"/>
      <c r="E61" s="23"/>
      <c r="F61" s="23">
        <f t="shared" si="25"/>
        <v>-141.5</v>
      </c>
      <c r="G61" s="23">
        <f t="shared" si="25"/>
        <v>-7.3424518527162945</v>
      </c>
      <c r="H61" s="23">
        <f t="shared" si="25"/>
        <v>-1.5081213901662522</v>
      </c>
    </row>
    <row r="62" spans="1:15" x14ac:dyDescent="0.2">
      <c r="B62" s="23">
        <f t="shared" si="25"/>
        <v>-34.099999999999909</v>
      </c>
      <c r="C62" s="23">
        <f t="shared" si="25"/>
        <v>837.56999999999971</v>
      </c>
      <c r="D62" s="23"/>
      <c r="E62" s="23"/>
      <c r="F62" s="23">
        <f t="shared" si="25"/>
        <v>0.5</v>
      </c>
      <c r="G62" s="23">
        <f t="shared" si="25"/>
        <v>-7.3424518527162945</v>
      </c>
      <c r="H62" s="23">
        <f t="shared" si="25"/>
        <v>-1.5081213901662522</v>
      </c>
    </row>
    <row r="63" spans="1:15" x14ac:dyDescent="0.2">
      <c r="B63" s="23">
        <f t="shared" si="25"/>
        <v>-18.800000000000182</v>
      </c>
      <c r="C63" s="23">
        <f t="shared" si="25"/>
        <v>1058.7200000000003</v>
      </c>
      <c r="D63" s="23"/>
      <c r="E63" s="23"/>
      <c r="F63" s="23">
        <f t="shared" si="25"/>
        <v>96</v>
      </c>
      <c r="G63" s="23">
        <f t="shared" si="25"/>
        <v>-7.3424518527162945</v>
      </c>
      <c r="H63" s="23">
        <f t="shared" si="25"/>
        <v>-1.5081213901662487</v>
      </c>
    </row>
    <row r="64" spans="1:15" x14ac:dyDescent="0.2">
      <c r="B64" s="23">
        <f t="shared" si="25"/>
        <v>-8.9499999999998181</v>
      </c>
      <c r="C64" s="23">
        <f t="shared" si="25"/>
        <v>850.60000000000036</v>
      </c>
      <c r="D64" s="23"/>
      <c r="E64" s="23"/>
      <c r="F64" s="23">
        <f t="shared" si="25"/>
        <v>45.199999999999818</v>
      </c>
      <c r="G64" s="23">
        <f t="shared" si="25"/>
        <v>-7.3424518527163514</v>
      </c>
      <c r="H64" s="23">
        <f t="shared" si="25"/>
        <v>-1.5081213901662522</v>
      </c>
    </row>
    <row r="65" spans="2:8" x14ac:dyDescent="0.2">
      <c r="B65" s="23">
        <f t="shared" si="25"/>
        <v>-38.019999999999982</v>
      </c>
      <c r="C65" s="23">
        <f t="shared" si="25"/>
        <v>1723.4800000000005</v>
      </c>
      <c r="D65" s="23"/>
      <c r="E65" s="23"/>
      <c r="F65" s="23">
        <f t="shared" si="25"/>
        <v>59.400000000000546</v>
      </c>
      <c r="G65" s="23">
        <f t="shared" si="25"/>
        <v>-6.5896243224095201</v>
      </c>
      <c r="H65" s="23">
        <f t="shared" si="25"/>
        <v>7.4668921704571929</v>
      </c>
    </row>
    <row r="66" spans="2:8" x14ac:dyDescent="0.2">
      <c r="B66" s="23">
        <f t="shared" si="25"/>
        <v>-20.400000000000091</v>
      </c>
      <c r="C66" s="23">
        <f t="shared" si="25"/>
        <v>1823.9499999999989</v>
      </c>
      <c r="D66" s="23"/>
      <c r="E66" s="23"/>
      <c r="F66" s="23">
        <f t="shared" si="25"/>
        <v>36.099999999999454</v>
      </c>
      <c r="G66" s="23">
        <f t="shared" si="25"/>
        <v>-5</v>
      </c>
      <c r="H66" s="23">
        <f t="shared" si="25"/>
        <v>-3</v>
      </c>
    </row>
    <row r="67" spans="2:8" x14ac:dyDescent="0.2">
      <c r="B67" s="23">
        <f t="shared" si="25"/>
        <v>-12.869999999999436</v>
      </c>
      <c r="C67" s="23">
        <f t="shared" si="25"/>
        <v>1438.6200000000008</v>
      </c>
      <c r="D67" s="23"/>
      <c r="E67" s="23"/>
      <c r="F67" s="23">
        <f t="shared" si="25"/>
        <v>9.4000000000005457</v>
      </c>
      <c r="G67" s="23">
        <f t="shared" si="25"/>
        <v>-45</v>
      </c>
      <c r="H67" s="23">
        <f t="shared" si="25"/>
        <v>-7</v>
      </c>
    </row>
    <row r="68" spans="2:8" x14ac:dyDescent="0.2">
      <c r="B68" s="23">
        <f t="shared" si="25"/>
        <v>-3.2400000000006912</v>
      </c>
      <c r="C68" s="23">
        <f t="shared" si="25"/>
        <v>1375.9400000000005</v>
      </c>
      <c r="D68" s="23"/>
      <c r="E68" s="23"/>
      <c r="F68" s="23">
        <f t="shared" si="25"/>
        <v>14.489999999999782</v>
      </c>
      <c r="G68" s="23">
        <f t="shared" si="25"/>
        <v>20</v>
      </c>
      <c r="H68" s="23">
        <f t="shared" si="25"/>
        <v>1.3999999999999986</v>
      </c>
    </row>
    <row r="69" spans="2:8" x14ac:dyDescent="0.2">
      <c r="B69" s="23">
        <f t="shared" si="25"/>
        <v>11.570000000000164</v>
      </c>
      <c r="C69" s="23">
        <f t="shared" si="25"/>
        <v>1592.6100000000006</v>
      </c>
      <c r="D69" s="23"/>
      <c r="E69" s="23"/>
      <c r="F69" s="23">
        <f t="shared" si="25"/>
        <v>-10.100000000000364</v>
      </c>
      <c r="G69" s="23">
        <f t="shared" si="25"/>
        <v>-11.600000000000023</v>
      </c>
      <c r="H69" s="23">
        <f t="shared" si="25"/>
        <v>-2.5</v>
      </c>
    </row>
    <row r="70" spans="2:8" x14ac:dyDescent="0.2">
      <c r="B70" s="23">
        <f t="shared" si="25"/>
        <v>5.8400000000001455</v>
      </c>
      <c r="C70" s="23">
        <f t="shared" si="25"/>
        <v>1412.8099999999977</v>
      </c>
      <c r="D70" s="23"/>
      <c r="E70" s="23"/>
      <c r="F70" s="23">
        <f t="shared" si="25"/>
        <v>18.390000000000327</v>
      </c>
      <c r="G70" s="23">
        <f t="shared" si="25"/>
        <v>-16.699999999999989</v>
      </c>
      <c r="H70" s="23">
        <f t="shared" si="25"/>
        <v>-0.79999999999999716</v>
      </c>
    </row>
    <row r="71" spans="2:8" x14ac:dyDescent="0.2">
      <c r="B71" s="23">
        <f t="shared" si="25"/>
        <v>12.25</v>
      </c>
      <c r="C71" s="23">
        <f t="shared" si="25"/>
        <v>1595.9000000000015</v>
      </c>
      <c r="D71" s="23"/>
      <c r="E71" s="23"/>
      <c r="F71" s="23">
        <f t="shared" si="25"/>
        <v>-27.3700000000008</v>
      </c>
      <c r="G71" s="23">
        <f t="shared" si="25"/>
        <v>41.800000000000011</v>
      </c>
      <c r="H71" s="23">
        <f t="shared" si="25"/>
        <v>-3.9000000000000021</v>
      </c>
    </row>
    <row r="72" spans="2:8" x14ac:dyDescent="0.2">
      <c r="B72" s="23">
        <f t="shared" si="25"/>
        <v>17.239999999999782</v>
      </c>
      <c r="C72" s="23">
        <f t="shared" si="25"/>
        <v>2108.5699999999961</v>
      </c>
      <c r="D72" s="23"/>
      <c r="E72" s="23"/>
      <c r="F72" s="23">
        <f t="shared" si="25"/>
        <v>-37.779999999999745</v>
      </c>
      <c r="G72" s="23">
        <f t="shared" si="25"/>
        <v>12.800000000000011</v>
      </c>
      <c r="H72" s="23">
        <f t="shared" si="25"/>
        <v>2</v>
      </c>
    </row>
    <row r="73" spans="2:8" x14ac:dyDescent="0.2">
      <c r="B73" s="23">
        <f t="shared" si="25"/>
        <v>4.6400000000003274</v>
      </c>
      <c r="C73" s="23">
        <f t="shared" si="25"/>
        <v>1097.2100000000064</v>
      </c>
      <c r="D73" s="23"/>
      <c r="E73" s="23"/>
      <c r="F73" s="23">
        <f t="shared" si="25"/>
        <v>50.040000000000873</v>
      </c>
      <c r="G73" s="23">
        <f t="shared" si="25"/>
        <v>-28.837915155881433</v>
      </c>
      <c r="H73" s="23">
        <f t="shared" si="25"/>
        <v>14.139853849226931</v>
      </c>
    </row>
    <row r="74" spans="2:8" x14ac:dyDescent="0.2">
      <c r="B74" s="23">
        <f t="shared" si="25"/>
        <v>5.5499999999997272</v>
      </c>
      <c r="C74" s="23">
        <f t="shared" si="25"/>
        <v>1597.3599999999969</v>
      </c>
      <c r="D74" s="23"/>
      <c r="E74" s="23"/>
      <c r="F74" s="23">
        <f t="shared" si="25"/>
        <v>3.6799999999993815</v>
      </c>
      <c r="G74" s="23">
        <f t="shared" si="25"/>
        <v>44.15132232488628</v>
      </c>
      <c r="H74" s="23">
        <f t="shared" si="25"/>
        <v>-1.596834413117211</v>
      </c>
    </row>
    <row r="75" spans="2:8" x14ac:dyDescent="0.2">
      <c r="B75" s="23">
        <f t="shared" si="25"/>
        <v>-3.2899999999995089</v>
      </c>
      <c r="C75" s="23">
        <f t="shared" si="25"/>
        <v>874.61999999999898</v>
      </c>
      <c r="D75" s="23"/>
      <c r="E75" s="23"/>
      <c r="F75" s="23">
        <f t="shared" si="25"/>
        <v>41.320000000000618</v>
      </c>
      <c r="G75" s="23">
        <f t="shared" si="25"/>
        <v>-66.813407169004847</v>
      </c>
      <c r="H75" s="23">
        <f t="shared" si="25"/>
        <v>-17.04301943610972</v>
      </c>
    </row>
    <row r="76" spans="2:8" x14ac:dyDescent="0.2">
      <c r="B76" s="23">
        <f t="shared" si="25"/>
        <v>-3.8200000000006185</v>
      </c>
      <c r="C76" s="23">
        <f t="shared" si="25"/>
        <v>2893.9300000000003</v>
      </c>
      <c r="D76" s="23"/>
      <c r="E76" s="23"/>
      <c r="F76" s="23">
        <f t="shared" si="25"/>
        <v>9.2299999999995634</v>
      </c>
      <c r="G76" s="23">
        <f t="shared" si="25"/>
        <v>-10.089114867339731</v>
      </c>
      <c r="H76" s="23">
        <f t="shared" si="25"/>
        <v>5.5103264524854509</v>
      </c>
    </row>
    <row r="77" spans="2:8" x14ac:dyDescent="0.2">
      <c r="B77" s="23">
        <f t="shared" si="25"/>
        <v>-6.7599999999997635</v>
      </c>
      <c r="C77" s="23">
        <f t="shared" si="25"/>
        <v>1665.1599999999999</v>
      </c>
      <c r="D77" s="23"/>
      <c r="E77" s="23"/>
      <c r="F77" s="23">
        <f t="shared" si="25"/>
        <v>15.75</v>
      </c>
      <c r="G77" s="23">
        <f t="shared" si="25"/>
        <v>78.255078956581826</v>
      </c>
      <c r="H77" s="23">
        <f t="shared" si="25"/>
        <v>-1.4194083672152935</v>
      </c>
    </row>
    <row r="78" spans="2:8" x14ac:dyDescent="0.2">
      <c r="B78" s="23">
        <f t="shared" si="25"/>
        <v>-1.8600000000001273</v>
      </c>
      <c r="C78" s="23">
        <f t="shared" si="25"/>
        <v>1684</v>
      </c>
      <c r="D78" s="23"/>
      <c r="E78" s="23"/>
      <c r="F78" s="23">
        <f t="shared" si="25"/>
        <v>15.3100000000004</v>
      </c>
      <c r="G78" s="23">
        <f t="shared" si="25"/>
        <v>-73.32790731857483</v>
      </c>
      <c r="H78" s="23">
        <f t="shared" si="25"/>
        <v>-8.8713022950956955E-2</v>
      </c>
    </row>
    <row r="79" spans="2:8" x14ac:dyDescent="0.2">
      <c r="B79" s="23"/>
    </row>
    <row r="80" spans="2:8" x14ac:dyDescent="0.2">
      <c r="B80" s="23"/>
    </row>
    <row r="81" spans="2:2" x14ac:dyDescent="0.2">
      <c r="B81" s="23"/>
    </row>
    <row r="82" spans="2:2" x14ac:dyDescent="0.2">
      <c r="B82" s="23"/>
    </row>
    <row r="83" spans="2:2" x14ac:dyDescent="0.2">
      <c r="B83" s="23"/>
    </row>
    <row r="84" spans="2:2" x14ac:dyDescent="0.2">
      <c r="B84" s="23"/>
    </row>
    <row r="115" spans="2:9" x14ac:dyDescent="0.2">
      <c r="B115" s="21" t="s">
        <v>4</v>
      </c>
      <c r="C115" s="22">
        <v>1</v>
      </c>
      <c r="D115" s="22"/>
      <c r="E115" s="22"/>
      <c r="F115" s="22">
        <v>2</v>
      </c>
      <c r="G115" s="22">
        <v>3</v>
      </c>
      <c r="H115" s="22">
        <v>4</v>
      </c>
      <c r="I115" s="22">
        <v>5</v>
      </c>
    </row>
    <row r="116" spans="2:9" ht="36" x14ac:dyDescent="0.2">
      <c r="B116" s="21" t="s">
        <v>5</v>
      </c>
      <c r="C116" s="22" t="s">
        <v>0</v>
      </c>
      <c r="D116" s="22"/>
      <c r="E116" s="22"/>
      <c r="F116" s="22" t="s">
        <v>17</v>
      </c>
      <c r="G116" s="22" t="s">
        <v>21</v>
      </c>
      <c r="H116" s="22" t="s">
        <v>24</v>
      </c>
      <c r="I116" s="22" t="s">
        <v>27</v>
      </c>
    </row>
    <row r="117" spans="2:9" x14ac:dyDescent="0.2">
      <c r="B117" s="21" t="s">
        <v>6</v>
      </c>
      <c r="C117" s="22" t="s">
        <v>12</v>
      </c>
      <c r="D117" s="22"/>
      <c r="E117" s="22"/>
      <c r="F117" s="22" t="s">
        <v>18</v>
      </c>
      <c r="G117" s="22" t="s">
        <v>22</v>
      </c>
      <c r="H117" s="22" t="s">
        <v>25</v>
      </c>
      <c r="I117" s="22" t="s">
        <v>28</v>
      </c>
    </row>
    <row r="118" spans="2:9" x14ac:dyDescent="0.2">
      <c r="B118" s="21" t="s">
        <v>7</v>
      </c>
      <c r="C118" s="22" t="s">
        <v>1</v>
      </c>
      <c r="D118" s="22"/>
      <c r="E118" s="22"/>
      <c r="F118" s="22" t="s">
        <v>2</v>
      </c>
      <c r="G118" s="22" t="s">
        <v>2</v>
      </c>
      <c r="H118" s="22" t="s">
        <v>2</v>
      </c>
      <c r="I118" s="22" t="s">
        <v>29</v>
      </c>
    </row>
    <row r="119" spans="2:9" x14ac:dyDescent="0.2">
      <c r="B119" s="21" t="s">
        <v>8</v>
      </c>
      <c r="C119" s="22" t="s">
        <v>13</v>
      </c>
      <c r="D119" s="22"/>
      <c r="E119" s="22"/>
      <c r="F119" s="22" t="s">
        <v>19</v>
      </c>
      <c r="G119" s="22" t="s">
        <v>13</v>
      </c>
      <c r="H119" s="22" t="s">
        <v>13</v>
      </c>
      <c r="I119" s="22" t="s">
        <v>30</v>
      </c>
    </row>
    <row r="120" spans="2:9" ht="54" x14ac:dyDescent="0.2">
      <c r="B120" s="21" t="s">
        <v>9</v>
      </c>
      <c r="C120" s="22" t="s">
        <v>14</v>
      </c>
      <c r="D120" s="22"/>
      <c r="E120" s="22"/>
      <c r="F120" s="22" t="s">
        <v>20</v>
      </c>
      <c r="G120" s="22" t="s">
        <v>23</v>
      </c>
      <c r="H120" s="22" t="s">
        <v>26</v>
      </c>
      <c r="I120" s="22" t="s">
        <v>31</v>
      </c>
    </row>
    <row r="121" spans="2:9" x14ac:dyDescent="0.2">
      <c r="B121" s="21" t="s">
        <v>10</v>
      </c>
      <c r="C121" s="22" t="s">
        <v>15</v>
      </c>
      <c r="D121" s="22"/>
      <c r="E121" s="22"/>
      <c r="F121" s="22" t="s">
        <v>15</v>
      </c>
      <c r="G121" s="22" t="s">
        <v>15</v>
      </c>
      <c r="H121" s="22" t="s">
        <v>15</v>
      </c>
      <c r="I121" s="22" t="s">
        <v>32</v>
      </c>
    </row>
    <row r="122" spans="2:9" x14ac:dyDescent="0.2">
      <c r="B122" s="21" t="s">
        <v>11</v>
      </c>
      <c r="C122" s="22" t="s">
        <v>16</v>
      </c>
      <c r="D122" s="22"/>
      <c r="E122" s="22"/>
      <c r="F122" s="22" t="s">
        <v>16</v>
      </c>
      <c r="G122" s="22" t="s">
        <v>16</v>
      </c>
      <c r="H122" s="22" t="s">
        <v>16</v>
      </c>
      <c r="I122" s="22" t="s">
        <v>33</v>
      </c>
    </row>
    <row r="123" spans="2:9" x14ac:dyDescent="0.2">
      <c r="B123" s="22"/>
      <c r="C123" s="22"/>
      <c r="D123" s="22"/>
      <c r="E123" s="22"/>
      <c r="F123" s="22"/>
      <c r="G123" s="22"/>
      <c r="H123" s="22"/>
    </row>
    <row r="124" spans="2:9" x14ac:dyDescent="0.2">
      <c r="B124" s="22"/>
      <c r="C124" s="22"/>
      <c r="D124" s="22"/>
      <c r="E124" s="22"/>
      <c r="F124" s="22"/>
      <c r="G124" s="22"/>
      <c r="H124" s="22"/>
    </row>
    <row r="125" spans="2:9" x14ac:dyDescent="0.2">
      <c r="B125" s="21"/>
      <c r="C125" s="21"/>
      <c r="D125" s="21"/>
      <c r="E125" s="21"/>
      <c r="F125" s="21"/>
      <c r="G125" s="21"/>
      <c r="H125" s="21"/>
      <c r="I125" s="21"/>
    </row>
    <row r="126" spans="2:9" x14ac:dyDescent="0.2">
      <c r="B126" s="22"/>
      <c r="C126" s="22"/>
      <c r="D126" s="22"/>
      <c r="E126" s="22"/>
      <c r="F126" s="22"/>
      <c r="G126" s="22"/>
      <c r="H126" s="22"/>
      <c r="I126" s="22"/>
    </row>
    <row r="127" spans="2:9" x14ac:dyDescent="0.2">
      <c r="B127" s="21" t="s">
        <v>4</v>
      </c>
      <c r="C127" s="21" t="s">
        <v>5</v>
      </c>
      <c r="D127" s="21"/>
      <c r="E127" s="21"/>
      <c r="F127" s="21" t="s">
        <v>6</v>
      </c>
      <c r="G127" s="21" t="s">
        <v>7</v>
      </c>
      <c r="H127" s="21" t="s">
        <v>8</v>
      </c>
      <c r="I127" s="21" t="s">
        <v>9</v>
      </c>
    </row>
    <row r="128" spans="2:9" ht="72" x14ac:dyDescent="0.2">
      <c r="B128" s="22">
        <v>1</v>
      </c>
      <c r="C128" s="22" t="s">
        <v>0</v>
      </c>
      <c r="D128" s="22"/>
      <c r="E128" s="22"/>
      <c r="F128" s="22" t="s">
        <v>12</v>
      </c>
      <c r="G128" s="22" t="s">
        <v>1</v>
      </c>
      <c r="H128" s="22" t="s">
        <v>13</v>
      </c>
      <c r="I128" s="22" t="s">
        <v>14</v>
      </c>
    </row>
    <row r="129" spans="2:9" ht="72" x14ac:dyDescent="0.2">
      <c r="B129" s="22">
        <v>2</v>
      </c>
      <c r="C129" s="22" t="s">
        <v>17</v>
      </c>
      <c r="D129" s="22"/>
      <c r="E129" s="22"/>
      <c r="F129" s="22" t="s">
        <v>18</v>
      </c>
      <c r="G129" s="22" t="s">
        <v>2</v>
      </c>
      <c r="H129" s="22" t="s">
        <v>19</v>
      </c>
      <c r="I129" s="22" t="s">
        <v>20</v>
      </c>
    </row>
    <row r="130" spans="2:9" ht="54" x14ac:dyDescent="0.2">
      <c r="B130" s="22">
        <v>3</v>
      </c>
      <c r="C130" s="22" t="s">
        <v>21</v>
      </c>
      <c r="D130" s="22"/>
      <c r="E130" s="22"/>
      <c r="F130" s="22" t="s">
        <v>22</v>
      </c>
      <c r="G130" s="22" t="s">
        <v>2</v>
      </c>
      <c r="H130" s="22" t="s">
        <v>13</v>
      </c>
      <c r="I130" s="22" t="s">
        <v>23</v>
      </c>
    </row>
    <row r="131" spans="2:9" ht="72" x14ac:dyDescent="0.2">
      <c r="B131" s="22">
        <v>4</v>
      </c>
      <c r="C131" s="22" t="s">
        <v>24</v>
      </c>
      <c r="D131" s="22"/>
      <c r="E131" s="22"/>
      <c r="F131" s="22" t="s">
        <v>25</v>
      </c>
      <c r="G131" s="22" t="s">
        <v>2</v>
      </c>
      <c r="H131" s="22" t="s">
        <v>13</v>
      </c>
      <c r="I131" s="22" t="s">
        <v>26</v>
      </c>
    </row>
    <row r="132" spans="2:9" ht="54" x14ac:dyDescent="0.2">
      <c r="B132" s="22">
        <v>5</v>
      </c>
      <c r="C132" s="22" t="s">
        <v>27</v>
      </c>
      <c r="D132" s="22"/>
      <c r="E132" s="22"/>
      <c r="F132" s="22" t="s">
        <v>28</v>
      </c>
      <c r="G132" s="22" t="s">
        <v>29</v>
      </c>
      <c r="H132" s="22" t="s">
        <v>30</v>
      </c>
      <c r="I132" s="22" t="s">
        <v>31</v>
      </c>
    </row>
    <row r="133" spans="2:9" ht="54" x14ac:dyDescent="0.2">
      <c r="B133" s="22">
        <v>6</v>
      </c>
      <c r="C133" s="22" t="s">
        <v>34</v>
      </c>
      <c r="D133" s="22"/>
      <c r="E133" s="22"/>
      <c r="F133" s="22" t="s">
        <v>35</v>
      </c>
      <c r="G133" s="22" t="s">
        <v>29</v>
      </c>
      <c r="H133" s="22" t="s">
        <v>30</v>
      </c>
      <c r="I133" s="22" t="s">
        <v>36</v>
      </c>
    </row>
    <row r="134" spans="2:9" ht="54" x14ac:dyDescent="0.2">
      <c r="B134" s="22">
        <v>7</v>
      </c>
      <c r="C134" s="22" t="s">
        <v>37</v>
      </c>
      <c r="D134" s="22"/>
      <c r="E134" s="22"/>
      <c r="F134" s="22" t="s">
        <v>38</v>
      </c>
      <c r="G134" s="22" t="s">
        <v>39</v>
      </c>
      <c r="H134" s="22" t="s">
        <v>13</v>
      </c>
      <c r="I134" s="22" t="s">
        <v>40</v>
      </c>
    </row>
    <row r="135" spans="2:9" ht="54" x14ac:dyDescent="0.2">
      <c r="B135" s="22">
        <v>8</v>
      </c>
      <c r="C135" s="22" t="s">
        <v>41</v>
      </c>
      <c r="D135" s="22"/>
      <c r="E135" s="22"/>
      <c r="F135" s="22" t="s">
        <v>42</v>
      </c>
      <c r="G135" s="22" t="s">
        <v>43</v>
      </c>
      <c r="H135" s="22" t="s">
        <v>44</v>
      </c>
      <c r="I135" s="22" t="s">
        <v>45</v>
      </c>
    </row>
    <row r="136" spans="2:9" ht="54" x14ac:dyDescent="0.2">
      <c r="B136" s="22">
        <v>9</v>
      </c>
      <c r="C136" s="22" t="s">
        <v>46</v>
      </c>
      <c r="D136" s="22"/>
      <c r="E136" s="22"/>
      <c r="F136" s="22" t="s">
        <v>47</v>
      </c>
      <c r="G136" s="22" t="s">
        <v>3</v>
      </c>
      <c r="H136" s="22" t="s">
        <v>44</v>
      </c>
      <c r="I136" s="22" t="s">
        <v>48</v>
      </c>
    </row>
  </sheetData>
  <mergeCells count="1">
    <mergeCell ref="B58:H5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Bingyi Zhou</cp:lastModifiedBy>
  <dcterms:created xsi:type="dcterms:W3CDTF">2015-06-05T18:19:34Z</dcterms:created>
  <dcterms:modified xsi:type="dcterms:W3CDTF">2026-01-03T18:15:41Z</dcterms:modified>
</cp:coreProperties>
</file>