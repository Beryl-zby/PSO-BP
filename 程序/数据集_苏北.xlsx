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大论文\需水预测\PSO-BP神经网络回归预测模型（粒子群算法优化BP神经网络）\程序\"/>
    </mc:Choice>
  </mc:AlternateContent>
  <xr:revisionPtr revIDLastSave="0" documentId="13_ncr:1_{5C162176-5EEE-4556-BE6B-206646EBA7E3}" xr6:coauthVersionLast="47" xr6:coauthVersionMax="47" xr10:uidLastSave="{00000000-0000-0000-0000-000000000000}"/>
  <bookViews>
    <workbookView xWindow="9795" yWindow="0" windowWidth="28605" windowHeight="10560" xr2:uid="{00000000-000D-0000-FFFF-FFFF00000000}"/>
  </bookViews>
  <sheets>
    <sheet name="Sheet1" sheetId="1" r:id="rId1"/>
  </sheets>
  <definedNames>
    <definedName name="_xlnm._FilterDatabase" localSheetId="0" hidden="1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D2" i="1"/>
  <c r="E2" i="1"/>
  <c r="A3" i="1"/>
  <c r="B3" i="1"/>
  <c r="C3" i="1"/>
  <c r="D3" i="1"/>
  <c r="E3" i="1"/>
  <c r="A4" i="1"/>
  <c r="B4" i="1"/>
  <c r="C4" i="1"/>
  <c r="D4" i="1"/>
  <c r="E4" i="1"/>
  <c r="A5" i="1"/>
  <c r="B5" i="1"/>
  <c r="C5" i="1"/>
  <c r="D5" i="1"/>
  <c r="E5" i="1"/>
  <c r="A6" i="1"/>
  <c r="B6" i="1"/>
  <c r="C6" i="1"/>
  <c r="D6" i="1"/>
  <c r="E6" i="1"/>
  <c r="A7" i="1"/>
  <c r="B7" i="1"/>
  <c r="C7" i="1"/>
  <c r="D7" i="1"/>
  <c r="E7" i="1"/>
  <c r="A8" i="1"/>
  <c r="B8" i="1"/>
  <c r="C8" i="1"/>
  <c r="D8" i="1"/>
  <c r="E8" i="1"/>
  <c r="A9" i="1"/>
  <c r="B9" i="1"/>
  <c r="C9" i="1"/>
  <c r="D9" i="1"/>
  <c r="E9" i="1"/>
  <c r="A10" i="1"/>
  <c r="B10" i="1"/>
  <c r="C10" i="1"/>
  <c r="D10" i="1"/>
  <c r="E10" i="1"/>
  <c r="A11" i="1"/>
  <c r="B11" i="1"/>
  <c r="C11" i="1"/>
  <c r="D11" i="1"/>
  <c r="E11" i="1"/>
  <c r="A12" i="1"/>
  <c r="B12" i="1"/>
  <c r="C12" i="1"/>
  <c r="D12" i="1"/>
  <c r="E12" i="1"/>
  <c r="A13" i="1"/>
  <c r="B13" i="1"/>
  <c r="C13" i="1"/>
  <c r="D13" i="1"/>
  <c r="E13" i="1"/>
  <c r="A14" i="1"/>
  <c r="B14" i="1"/>
  <c r="C14" i="1"/>
  <c r="D14" i="1"/>
  <c r="E14" i="1"/>
  <c r="A15" i="1"/>
  <c r="B15" i="1"/>
  <c r="C15" i="1"/>
  <c r="D15" i="1"/>
  <c r="E15" i="1"/>
  <c r="A16" i="1"/>
  <c r="B16" i="1"/>
  <c r="C16" i="1"/>
  <c r="D16" i="1"/>
  <c r="E16" i="1"/>
  <c r="A17" i="1"/>
  <c r="B17" i="1"/>
  <c r="C17" i="1"/>
  <c r="D17" i="1"/>
  <c r="E17" i="1"/>
  <c r="A18" i="1"/>
  <c r="B18" i="1"/>
  <c r="C18" i="1"/>
  <c r="D18" i="1"/>
  <c r="E18" i="1"/>
  <c r="A19" i="1"/>
  <c r="B19" i="1"/>
  <c r="C19" i="1"/>
  <c r="D19" i="1"/>
  <c r="E19" i="1"/>
  <c r="A20" i="1"/>
  <c r="B20" i="1"/>
  <c r="C20" i="1"/>
  <c r="D20" i="1"/>
  <c r="E20" i="1"/>
  <c r="B59" i="1" l="1"/>
  <c r="C59" i="1"/>
  <c r="D59" i="1"/>
  <c r="E59" i="1"/>
  <c r="B60" i="1"/>
  <c r="C60" i="1"/>
  <c r="D60" i="1"/>
  <c r="E60" i="1"/>
  <c r="B61" i="1"/>
  <c r="C61" i="1"/>
  <c r="D61" i="1"/>
  <c r="E61" i="1"/>
  <c r="B62" i="1"/>
  <c r="C62" i="1"/>
  <c r="D62" i="1"/>
  <c r="E62" i="1"/>
  <c r="B63" i="1"/>
  <c r="C63" i="1"/>
  <c r="D63" i="1"/>
  <c r="E63" i="1"/>
  <c r="B64" i="1"/>
  <c r="C64" i="1"/>
  <c r="D64" i="1"/>
  <c r="E64" i="1"/>
  <c r="B65" i="1"/>
  <c r="C65" i="1"/>
  <c r="D65" i="1"/>
  <c r="E65" i="1"/>
  <c r="B66" i="1"/>
  <c r="C66" i="1"/>
  <c r="D66" i="1"/>
  <c r="E66" i="1"/>
  <c r="B67" i="1"/>
  <c r="C67" i="1"/>
  <c r="D67" i="1"/>
  <c r="E67" i="1"/>
  <c r="B68" i="1"/>
  <c r="C68" i="1"/>
  <c r="D68" i="1"/>
  <c r="E68" i="1"/>
  <c r="B69" i="1"/>
  <c r="C69" i="1"/>
  <c r="D69" i="1"/>
  <c r="E69" i="1"/>
  <c r="B70" i="1"/>
  <c r="C70" i="1"/>
  <c r="D70" i="1"/>
  <c r="E70" i="1"/>
  <c r="B71" i="1"/>
  <c r="C71" i="1"/>
  <c r="D71" i="1"/>
  <c r="E71" i="1"/>
  <c r="B72" i="1"/>
  <c r="C72" i="1"/>
  <c r="D72" i="1"/>
  <c r="E72" i="1"/>
  <c r="B73" i="1"/>
  <c r="C73" i="1"/>
  <c r="D73" i="1"/>
  <c r="E73" i="1"/>
  <c r="B74" i="1"/>
  <c r="C74" i="1"/>
  <c r="D74" i="1"/>
  <c r="E74" i="1"/>
  <c r="B75" i="1"/>
  <c r="C75" i="1"/>
  <c r="D75" i="1"/>
  <c r="E75" i="1"/>
  <c r="B76" i="1"/>
  <c r="C76" i="1"/>
  <c r="D76" i="1"/>
  <c r="E76" i="1"/>
  <c r="B77" i="1"/>
  <c r="C77" i="1"/>
  <c r="D77" i="1"/>
  <c r="E77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59" i="1"/>
  <c r="H35" i="1" l="1"/>
  <c r="H2" i="1" s="1"/>
  <c r="H36" i="1"/>
  <c r="H37" i="1"/>
  <c r="F38" i="1" s="1"/>
  <c r="F5" i="1" s="1"/>
  <c r="H38" i="1"/>
  <c r="H39" i="1"/>
  <c r="G39" i="1" s="1"/>
  <c r="G6" i="1" s="1"/>
  <c r="H40" i="1"/>
  <c r="F41" i="1" s="1"/>
  <c r="F8" i="1" s="1"/>
  <c r="H41" i="1"/>
  <c r="H8" i="1" s="1"/>
  <c r="H42" i="1"/>
  <c r="H9" i="1" s="1"/>
  <c r="H43" i="1"/>
  <c r="F44" i="1" s="1"/>
  <c r="F11" i="1" s="1"/>
  <c r="H44" i="1"/>
  <c r="F45" i="1" s="1"/>
  <c r="F12" i="1" s="1"/>
  <c r="H45" i="1"/>
  <c r="G45" i="1" s="1"/>
  <c r="G12" i="1" s="1"/>
  <c r="H46" i="1"/>
  <c r="G46" i="1" s="1"/>
  <c r="G13" i="1" s="1"/>
  <c r="H47" i="1"/>
  <c r="F48" i="1" s="1"/>
  <c r="F15" i="1" s="1"/>
  <c r="H48" i="1"/>
  <c r="F49" i="1" s="1"/>
  <c r="F16" i="1" s="1"/>
  <c r="H49" i="1"/>
  <c r="F50" i="1" s="1"/>
  <c r="F17" i="1" s="1"/>
  <c r="H50" i="1"/>
  <c r="F51" i="1" s="1"/>
  <c r="F18" i="1" s="1"/>
  <c r="H51" i="1"/>
  <c r="H52" i="1"/>
  <c r="G52" i="1" s="1"/>
  <c r="G19" i="1" s="1"/>
  <c r="H53" i="1"/>
  <c r="H20" i="1" s="1"/>
  <c r="H34" i="1"/>
  <c r="F35" i="1" s="1"/>
  <c r="F2" i="1" s="1"/>
  <c r="G49" i="1" l="1"/>
  <c r="G16" i="1" s="1"/>
  <c r="G48" i="1"/>
  <c r="G15" i="1" s="1"/>
  <c r="G47" i="1"/>
  <c r="G14" i="1" s="1"/>
  <c r="G51" i="1"/>
  <c r="G18" i="1" s="1"/>
  <c r="G36" i="1"/>
  <c r="G3" i="1" s="1"/>
  <c r="G35" i="1"/>
  <c r="G2" i="1" s="1"/>
  <c r="G44" i="1"/>
  <c r="G11" i="1" s="1"/>
  <c r="G43" i="1"/>
  <c r="G10" i="1" s="1"/>
  <c r="G42" i="1"/>
  <c r="G9" i="1" s="1"/>
  <c r="G41" i="1"/>
  <c r="G8" i="1" s="1"/>
  <c r="G40" i="1"/>
  <c r="G7" i="1" s="1"/>
  <c r="G53" i="1"/>
  <c r="G20" i="1" s="1"/>
  <c r="G38" i="1"/>
  <c r="G5" i="1" s="1"/>
  <c r="G37" i="1"/>
  <c r="G4" i="1" s="1"/>
  <c r="G50" i="1"/>
  <c r="G17" i="1" s="1"/>
  <c r="H10" i="1"/>
  <c r="H11" i="1"/>
  <c r="F43" i="1"/>
  <c r="F10" i="1" s="1"/>
  <c r="H4" i="1"/>
  <c r="F36" i="1"/>
  <c r="F3" i="1" s="1"/>
  <c r="F42" i="1"/>
  <c r="F9" i="1" s="1"/>
  <c r="H17" i="1"/>
  <c r="H18" i="1"/>
  <c r="H14" i="1"/>
  <c r="H12" i="1"/>
  <c r="H13" i="1"/>
  <c r="F52" i="1"/>
  <c r="F19" i="1" s="1"/>
  <c r="F46" i="1"/>
  <c r="F13" i="1" s="1"/>
  <c r="H7" i="1"/>
  <c r="F47" i="1"/>
  <c r="F14" i="1" s="1"/>
  <c r="H6" i="1"/>
  <c r="H19" i="1"/>
  <c r="H3" i="1"/>
  <c r="F40" i="1"/>
  <c r="F7" i="1" s="1"/>
  <c r="F39" i="1"/>
  <c r="F6" i="1" s="1"/>
  <c r="H16" i="1"/>
  <c r="H5" i="1"/>
  <c r="H15" i="1"/>
  <c r="F53" i="1"/>
  <c r="F20" i="1" s="1"/>
  <c r="F37" i="1"/>
  <c r="F4" i="1" s="1"/>
</calcChain>
</file>

<file path=xl/sharedStrings.xml><?xml version="1.0" encoding="utf-8"?>
<sst xmlns="http://schemas.openxmlformats.org/spreadsheetml/2006/main" count="132" uniqueCount="73">
  <si>
    <t>常住人口</t>
  </si>
  <si>
    <t>万人</t>
  </si>
  <si>
    <t>亿元</t>
  </si>
  <si>
    <t>m³/万元</t>
  </si>
  <si>
    <t>序号</t>
  </si>
  <si>
    <t>变量名称</t>
  </si>
  <si>
    <t>符号</t>
  </si>
  <si>
    <t>单位</t>
  </si>
  <si>
    <t>变量类型</t>
  </si>
  <si>
    <t>含义说明</t>
  </si>
  <si>
    <t>数据来源</t>
  </si>
  <si>
    <t>是否用于不确定性分析</t>
  </si>
  <si>
    <t>X1X_1X1​</t>
  </si>
  <si>
    <t>规模变量</t>
  </si>
  <si>
    <t>反映区域生活用水的刚性需求规模，是经济社会需水变化的基础约束条件</t>
  </si>
  <si>
    <t>统计年鉴</t>
  </si>
  <si>
    <t>是（情景扰动）</t>
  </si>
  <si>
    <t>第一产业增加值</t>
  </si>
  <si>
    <t>X2X_2X2​</t>
  </si>
  <si>
    <t>规模/结构变量</t>
  </si>
  <si>
    <t>表征农业经济活动水平，反映农业生产结构及投入强度变化</t>
  </si>
  <si>
    <t>第二产业增加值</t>
  </si>
  <si>
    <t>X3X_3X3​</t>
  </si>
  <si>
    <t>表征工业经济活动规模，对工业用水需求具有直接影响</t>
  </si>
  <si>
    <t>第三产业增加值</t>
  </si>
  <si>
    <t>X4X_4X4​</t>
  </si>
  <si>
    <t>表征服务业发展水平，反映非工业经济活动对用水需求的影响</t>
  </si>
  <si>
    <t>城镇生活人均用水量</t>
  </si>
  <si>
    <t>X5X_5X5​</t>
  </si>
  <si>
    <t>L/(人·d)</t>
  </si>
  <si>
    <t>行为/效率变量</t>
  </si>
  <si>
    <t>反映城镇居民生活用水行为与节水水平变化</t>
  </si>
  <si>
    <t>水资源公报</t>
  </si>
  <si>
    <t>是（参数扰动）</t>
  </si>
  <si>
    <t>农村生活人均用水量</t>
  </si>
  <si>
    <t>X6X_6X6​</t>
  </si>
  <si>
    <t>反映农村居民生活用水特征及生活方式变化</t>
  </si>
  <si>
    <t>农作物播种面积</t>
  </si>
  <si>
    <t>X7X_7X7​</t>
  </si>
  <si>
    <t>万 hm²</t>
  </si>
  <si>
    <t>表征农业生产物理规模，是农业需水量的重要基础指标</t>
  </si>
  <si>
    <t>亩均灌溉用水量</t>
  </si>
  <si>
    <t>X8X_8X8​</t>
  </si>
  <si>
    <t>m³/亩</t>
  </si>
  <si>
    <t>效率变量</t>
  </si>
  <si>
    <t>反映农业灌溉用水效率及节水技术水平</t>
  </si>
  <si>
    <t>万元工业增加值用水量</t>
  </si>
  <si>
    <t>X9X_9X9​</t>
  </si>
  <si>
    <t>表征工业用水强度，体现工业节水与技术进步水平</t>
  </si>
  <si>
    <r>
      <t>X</t>
    </r>
    <r>
      <rPr>
        <vertAlign val="subscript"/>
        <sz val="14"/>
        <color rgb="FF000000"/>
        <rFont val="Times New Roman"/>
        <family val="1"/>
      </rPr>
      <t>1</t>
    </r>
  </si>
  <si>
    <r>
      <t>X</t>
    </r>
    <r>
      <rPr>
        <vertAlign val="subscript"/>
        <sz val="14"/>
        <color rgb="FF000000"/>
        <rFont val="Times New Roman"/>
        <family val="1"/>
      </rPr>
      <t>2</t>
    </r>
  </si>
  <si>
    <r>
      <t>X</t>
    </r>
    <r>
      <rPr>
        <vertAlign val="subscript"/>
        <sz val="14"/>
        <color rgb="FF000000"/>
        <rFont val="Times New Roman"/>
        <family val="1"/>
      </rPr>
      <t>3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</si>
  <si>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4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</si>
  <si>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5</t>
    </r>
    <r>
      <rPr>
        <sz val="11"/>
        <color theme="1"/>
        <rFont val="等线"/>
        <family val="2"/>
        <scheme val="minor"/>
      </rPr>
      <t/>
    </r>
  </si>
  <si>
    <t>地区生产总值</t>
    <phoneticPr fontId="1" type="noConversion"/>
  </si>
  <si>
    <t>常住总人口</t>
  </si>
  <si>
    <t>亩均灌溉用水量（m³/亩）</t>
  </si>
  <si>
    <t>万元工业增加值用水量（m³/万元）</t>
  </si>
  <si>
    <r>
      <rPr>
        <sz val="14"/>
        <color theme="1"/>
        <rFont val="宋体"/>
        <family val="1"/>
        <charset val="134"/>
      </rPr>
      <t>需水量</t>
    </r>
    <phoneticPr fontId="1" type="noConversion"/>
  </si>
  <si>
    <r>
      <t>X</t>
    </r>
    <r>
      <rPr>
        <vertAlign val="subscript"/>
        <sz val="14"/>
        <color rgb="FF000000"/>
        <rFont val="Times New Roman"/>
        <family val="1"/>
      </rPr>
      <t>6</t>
    </r>
    <r>
      <rPr>
        <sz val="11"/>
        <color theme="1"/>
        <rFont val="等线"/>
        <family val="2"/>
        <scheme val="minor"/>
      </rPr>
      <t/>
    </r>
  </si>
  <si>
    <t>需水量（前一年）</t>
    <phoneticPr fontId="1" type="noConversion"/>
  </si>
  <si>
    <t>年份</t>
    <phoneticPr fontId="1" type="noConversion"/>
  </si>
  <si>
    <r>
      <t>X</t>
    </r>
    <r>
      <rPr>
        <vertAlign val="subscript"/>
        <sz val="14"/>
        <rFont val="Times New Roman"/>
        <family val="1"/>
      </rPr>
      <t>1</t>
    </r>
  </si>
  <si>
    <r>
      <rPr>
        <sz val="14"/>
        <rFont val="宋体"/>
        <family val="1"/>
        <charset val="134"/>
      </rPr>
      <t>需水量</t>
    </r>
    <phoneticPr fontId="1" type="noConversion"/>
  </si>
  <si>
    <r>
      <t>X</t>
    </r>
    <r>
      <rPr>
        <vertAlign val="subscript"/>
        <sz val="14"/>
        <rFont val="Times New Roman"/>
        <family val="1"/>
      </rPr>
      <t>2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</si>
  <si>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3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</si>
  <si>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4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</si>
  <si>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5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</si>
  <si>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6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</si>
  <si>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7</t>
    </r>
    <r>
      <rPr>
        <sz val="11"/>
        <color theme="1"/>
        <rFont val="等线"/>
        <family val="2"/>
        <scheme val="minor"/>
      </rPr>
      <t/>
    </r>
  </si>
  <si>
    <t>需水量（差分）</t>
    <phoneticPr fontId="1" type="noConversion"/>
  </si>
  <si>
    <r>
      <t>X</t>
    </r>
    <r>
      <rPr>
        <vertAlign val="subscript"/>
        <sz val="14"/>
        <color rgb="FF000000"/>
        <rFont val="Times New Roman"/>
        <family val="1"/>
      </rPr>
      <t>7</t>
    </r>
    <r>
      <rPr>
        <sz val="11"/>
        <color theme="1"/>
        <rFont val="等线"/>
        <family val="2"/>
        <scheme val="minor"/>
      </rPr>
      <t/>
    </r>
  </si>
  <si>
    <t>变化值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</si>
</sst>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4"/>
      <color rgb="FF000000"/>
      <name val="Times New Roman"/>
      <family val="1"/>
    </font>
    <font>
      <sz val="14"/>
      <color theme="1"/>
      <name val="Times New Roman"/>
      <family val="1"/>
    </font>
    <font>
      <sz val="14"/>
      <color rgb="FFFF0000"/>
      <name val="Times New Roman"/>
      <family val="1"/>
    </font>
    <font>
      <sz val="14"/>
      <name val="Times New Roman"/>
      <family val="1"/>
    </font>
    <font>
      <vertAlign val="subscript"/>
      <sz val="14"/>
      <color rgb="FF000000"/>
      <name val="Times New Roman"/>
      <family val="1"/>
    </font>
    <font>
      <sz val="14"/>
      <color theme="1"/>
      <name val="宋体"/>
      <family val="1"/>
      <charset val="134"/>
    </font>
    <font>
      <vertAlign val="subscript"/>
      <sz val="14"/>
      <name val="Times New Roman"/>
      <family val="1"/>
    </font>
    <font>
      <sz val="14"/>
      <name val="宋体"/>
      <family val="1"/>
      <charset val="134"/>
    </font>
    <font>
      <b/>
      <sz val="14"/>
      <color theme="1"/>
      <name val="等线"/>
      <family val="3"/>
      <charset val="134"/>
      <scheme val="minor"/>
    </font>
    <font>
      <sz val="14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1" fontId="2" fillId="0" borderId="1" xfId="0" applyNumberFormat="1" applyFont="1" applyBorder="1" applyAlignment="1">
      <alignment horizontal="center" wrapText="1"/>
    </xf>
    <xf numFmtId="1" fontId="3" fillId="0" borderId="1" xfId="0" applyNumberFormat="1" applyFont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2" fontId="5" fillId="2" borderId="1" xfId="0" applyNumberFormat="1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1" fontId="3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5"/>
  <sheetViews>
    <sheetView tabSelected="1" topLeftCell="A64" zoomScale="55" zoomScaleNormal="55" workbookViewId="0">
      <selection activeCell="G13" sqref="G13"/>
    </sheetView>
  </sheetViews>
  <sheetFormatPr defaultColWidth="13.125" defaultRowHeight="18.75" x14ac:dyDescent="0.2"/>
  <cols>
    <col min="1" max="7" width="31.5" style="19" customWidth="1"/>
    <col min="8" max="8" width="22" style="19" customWidth="1"/>
    <col min="9" max="16384" width="13.125" style="19"/>
  </cols>
  <sheetData>
    <row r="1" spans="1:9" ht="20.25" x14ac:dyDescent="0.2">
      <c r="A1" s="12" t="s">
        <v>62</v>
      </c>
      <c r="B1" s="12" t="s">
        <v>64</v>
      </c>
      <c r="C1" s="12" t="s">
        <v>65</v>
      </c>
      <c r="D1" s="12" t="s">
        <v>66</v>
      </c>
      <c r="E1" s="12" t="s">
        <v>67</v>
      </c>
      <c r="F1" s="12" t="s">
        <v>68</v>
      </c>
      <c r="G1" s="12" t="s">
        <v>69</v>
      </c>
      <c r="H1" s="8" t="s">
        <v>63</v>
      </c>
      <c r="I1" s="18" t="s">
        <v>61</v>
      </c>
    </row>
    <row r="2" spans="1:9" x14ac:dyDescent="0.3">
      <c r="A2" s="6">
        <f>A34</f>
        <v>3145.13</v>
      </c>
      <c r="B2" s="6">
        <f t="shared" ref="B2:E2" si="0">B34</f>
        <v>1399.92</v>
      </c>
      <c r="C2" s="6">
        <f t="shared" si="0"/>
        <v>4601.3999999999996</v>
      </c>
      <c r="D2" s="6">
        <f t="shared" si="0"/>
        <v>490.30188358599111</v>
      </c>
      <c r="E2" s="6">
        <f t="shared" si="0"/>
        <v>30.073714780374061</v>
      </c>
      <c r="F2" s="13">
        <f t="shared" ref="F2:G11" si="1">F35</f>
        <v>188.30948032558243</v>
      </c>
      <c r="G2" s="13">
        <f>G35</f>
        <v>-2.1138240751920421</v>
      </c>
      <c r="H2" s="14">
        <f t="shared" ref="H2:H20" si="2">H35</f>
        <v>186.19565625039039</v>
      </c>
      <c r="I2" s="20">
        <v>2005</v>
      </c>
    </row>
    <row r="3" spans="1:9" x14ac:dyDescent="0.3">
      <c r="A3" s="6">
        <f t="shared" ref="A3:E20" si="3">A35</f>
        <v>3111</v>
      </c>
      <c r="B3" s="6">
        <f t="shared" si="3"/>
        <v>3745.19</v>
      </c>
      <c r="C3" s="6">
        <f t="shared" si="3"/>
        <v>4601</v>
      </c>
      <c r="D3" s="6">
        <f t="shared" si="3"/>
        <v>482.95943173327476</v>
      </c>
      <c r="E3" s="6">
        <f t="shared" si="3"/>
        <v>28.565593390207813</v>
      </c>
      <c r="F3" s="13">
        <f t="shared" si="1"/>
        <v>186.19565625039039</v>
      </c>
      <c r="G3" s="13">
        <f t="shared" si="1"/>
        <v>9.5659496284114027</v>
      </c>
      <c r="H3" s="14">
        <f t="shared" si="2"/>
        <v>195.76160587880179</v>
      </c>
      <c r="I3" s="20">
        <v>2006</v>
      </c>
    </row>
    <row r="4" spans="1:9" x14ac:dyDescent="0.3">
      <c r="A4" s="6">
        <f t="shared" si="3"/>
        <v>3076.87</v>
      </c>
      <c r="B4" s="6">
        <f t="shared" si="3"/>
        <v>4450</v>
      </c>
      <c r="C4" s="6">
        <f t="shared" si="3"/>
        <v>4459.5</v>
      </c>
      <c r="D4" s="6">
        <f t="shared" si="3"/>
        <v>475.61697988055846</v>
      </c>
      <c r="E4" s="6">
        <f t="shared" si="3"/>
        <v>27.05747200004156</v>
      </c>
      <c r="F4" s="13">
        <f t="shared" si="1"/>
        <v>195.76160587880179</v>
      </c>
      <c r="G4" s="13">
        <f t="shared" si="1"/>
        <v>4.2634756770822548</v>
      </c>
      <c r="H4" s="14">
        <f t="shared" si="2"/>
        <v>200.02508155588404</v>
      </c>
      <c r="I4" s="20">
        <v>2007</v>
      </c>
    </row>
    <row r="5" spans="1:9" x14ac:dyDescent="0.3">
      <c r="A5" s="6">
        <f t="shared" si="3"/>
        <v>3042.77</v>
      </c>
      <c r="B5" s="6">
        <f t="shared" si="3"/>
        <v>5287.57</v>
      </c>
      <c r="C5" s="6">
        <f t="shared" si="3"/>
        <v>4460</v>
      </c>
      <c r="D5" s="6">
        <f t="shared" si="3"/>
        <v>468.27452802784217</v>
      </c>
      <c r="E5" s="6">
        <f t="shared" si="3"/>
        <v>25.549350609875308</v>
      </c>
      <c r="F5" s="13">
        <f t="shared" si="1"/>
        <v>200.02508155588404</v>
      </c>
      <c r="G5" s="13">
        <f t="shared" si="1"/>
        <v>0</v>
      </c>
      <c r="H5" s="14">
        <f t="shared" si="2"/>
        <v>200.02508155588404</v>
      </c>
      <c r="I5" s="20">
        <v>2008</v>
      </c>
    </row>
    <row r="6" spans="1:9" x14ac:dyDescent="0.3">
      <c r="A6" s="6">
        <f t="shared" si="3"/>
        <v>3023.97</v>
      </c>
      <c r="B6" s="6">
        <f t="shared" si="3"/>
        <v>6346.29</v>
      </c>
      <c r="C6" s="6">
        <f t="shared" si="3"/>
        <v>4556</v>
      </c>
      <c r="D6" s="6">
        <f t="shared" si="3"/>
        <v>460.93207617512587</v>
      </c>
      <c r="E6" s="6">
        <f t="shared" si="3"/>
        <v>24.041229219709059</v>
      </c>
      <c r="F6" s="13">
        <f t="shared" si="1"/>
        <v>200.02508155588404</v>
      </c>
      <c r="G6" s="13">
        <f t="shared" si="1"/>
        <v>-3.2603049295334472</v>
      </c>
      <c r="H6" s="14">
        <f t="shared" si="2"/>
        <v>196.7647766263506</v>
      </c>
      <c r="I6" s="20">
        <v>2009</v>
      </c>
    </row>
    <row r="7" spans="1:9" x14ac:dyDescent="0.3">
      <c r="A7" s="6">
        <f t="shared" si="3"/>
        <v>3015.02</v>
      </c>
      <c r="B7" s="6">
        <f t="shared" si="3"/>
        <v>7196.89</v>
      </c>
      <c r="C7" s="6">
        <f t="shared" si="3"/>
        <v>4601.2</v>
      </c>
      <c r="D7" s="6">
        <f t="shared" si="3"/>
        <v>453.58962432240952</v>
      </c>
      <c r="E7" s="6">
        <f t="shared" si="3"/>
        <v>22.533107829542807</v>
      </c>
      <c r="F7" s="13">
        <f t="shared" si="1"/>
        <v>196.7647766263506</v>
      </c>
      <c r="G7" s="13">
        <f t="shared" si="1"/>
        <v>-5.4647766263505844</v>
      </c>
      <c r="H7" s="14">
        <f t="shared" si="2"/>
        <v>191.3</v>
      </c>
      <c r="I7" s="20">
        <v>2010</v>
      </c>
    </row>
    <row r="8" spans="1:9" x14ac:dyDescent="0.3">
      <c r="A8" s="6">
        <f t="shared" si="3"/>
        <v>2977</v>
      </c>
      <c r="B8" s="6">
        <f t="shared" si="3"/>
        <v>8920.3700000000008</v>
      </c>
      <c r="C8" s="6">
        <f t="shared" si="3"/>
        <v>4660.6000000000004</v>
      </c>
      <c r="D8" s="6">
        <f t="shared" si="3"/>
        <v>447</v>
      </c>
      <c r="E8" s="6">
        <f t="shared" si="3"/>
        <v>30</v>
      </c>
      <c r="F8" s="13">
        <f t="shared" si="1"/>
        <v>191.3</v>
      </c>
      <c r="G8" s="13">
        <f t="shared" si="1"/>
        <v>1.0999999999999943</v>
      </c>
      <c r="H8" s="14">
        <f t="shared" si="2"/>
        <v>192.4</v>
      </c>
      <c r="I8" s="20">
        <v>2011</v>
      </c>
    </row>
    <row r="9" spans="1:9" x14ac:dyDescent="0.3">
      <c r="A9" s="6">
        <f t="shared" si="3"/>
        <v>2956.6</v>
      </c>
      <c r="B9" s="6">
        <f t="shared" si="3"/>
        <v>10744.32</v>
      </c>
      <c r="C9" s="6">
        <f t="shared" si="3"/>
        <v>4696.7</v>
      </c>
      <c r="D9" s="6">
        <f t="shared" si="3"/>
        <v>442</v>
      </c>
      <c r="E9" s="6">
        <f t="shared" si="3"/>
        <v>27</v>
      </c>
      <c r="F9" s="13">
        <f t="shared" si="1"/>
        <v>192.4</v>
      </c>
      <c r="G9" s="13">
        <f t="shared" si="1"/>
        <v>-2.9000000000000057</v>
      </c>
      <c r="H9" s="14">
        <f t="shared" si="2"/>
        <v>189.5</v>
      </c>
      <c r="I9" s="20">
        <v>2012</v>
      </c>
    </row>
    <row r="10" spans="1:9" x14ac:dyDescent="0.3">
      <c r="A10" s="6">
        <f t="shared" si="3"/>
        <v>2943.7300000000005</v>
      </c>
      <c r="B10" s="6">
        <f t="shared" si="3"/>
        <v>12182.94</v>
      </c>
      <c r="C10" s="6">
        <f t="shared" si="3"/>
        <v>4706.1000000000004</v>
      </c>
      <c r="D10" s="6">
        <f t="shared" si="3"/>
        <v>397</v>
      </c>
      <c r="E10" s="6">
        <f t="shared" si="3"/>
        <v>20</v>
      </c>
      <c r="F10" s="13">
        <f t="shared" si="1"/>
        <v>189.5</v>
      </c>
      <c r="G10" s="13">
        <f t="shared" si="1"/>
        <v>-1.9000000000000057</v>
      </c>
      <c r="H10" s="14">
        <f t="shared" si="2"/>
        <v>187.6</v>
      </c>
      <c r="I10" s="20">
        <v>2013</v>
      </c>
    </row>
    <row r="11" spans="1:9" x14ac:dyDescent="0.3">
      <c r="A11" s="6">
        <f t="shared" si="3"/>
        <v>2940.49</v>
      </c>
      <c r="B11" s="6">
        <f t="shared" si="3"/>
        <v>13558.880000000001</v>
      </c>
      <c r="C11" s="6">
        <f t="shared" si="3"/>
        <v>4720.59</v>
      </c>
      <c r="D11" s="6">
        <f t="shared" si="3"/>
        <v>417</v>
      </c>
      <c r="E11" s="6">
        <f t="shared" si="3"/>
        <v>21.4</v>
      </c>
      <c r="F11" s="13">
        <f t="shared" si="1"/>
        <v>187.6</v>
      </c>
      <c r="G11" s="13">
        <f t="shared" si="1"/>
        <v>3.3000000000000114</v>
      </c>
      <c r="H11" s="14">
        <f t="shared" si="2"/>
        <v>190.9</v>
      </c>
      <c r="I11" s="20">
        <v>2014</v>
      </c>
    </row>
    <row r="12" spans="1:9" x14ac:dyDescent="0.3">
      <c r="A12" s="6">
        <f t="shared" si="3"/>
        <v>2952.06</v>
      </c>
      <c r="B12" s="6">
        <f t="shared" si="3"/>
        <v>15151.490000000002</v>
      </c>
      <c r="C12" s="6">
        <f t="shared" si="3"/>
        <v>4710.49</v>
      </c>
      <c r="D12" s="6">
        <f t="shared" si="3"/>
        <v>405.4</v>
      </c>
      <c r="E12" s="6">
        <f t="shared" si="3"/>
        <v>18.899999999999999</v>
      </c>
      <c r="F12" s="13">
        <f t="shared" ref="F12:G20" si="4">F45</f>
        <v>190.9</v>
      </c>
      <c r="G12" s="13">
        <f t="shared" si="4"/>
        <v>-6.3000000000000114</v>
      </c>
      <c r="H12" s="14">
        <f t="shared" si="2"/>
        <v>184.6</v>
      </c>
      <c r="I12" s="20">
        <v>2015</v>
      </c>
    </row>
    <row r="13" spans="1:9" x14ac:dyDescent="0.3">
      <c r="A13" s="6">
        <f t="shared" si="3"/>
        <v>2957.9</v>
      </c>
      <c r="B13" s="6">
        <f t="shared" si="3"/>
        <v>16564.3</v>
      </c>
      <c r="C13" s="6">
        <f t="shared" si="3"/>
        <v>4728.88</v>
      </c>
      <c r="D13" s="6">
        <f t="shared" si="3"/>
        <v>388.7</v>
      </c>
      <c r="E13" s="6">
        <f t="shared" si="3"/>
        <v>18.100000000000001</v>
      </c>
      <c r="F13" s="13">
        <f t="shared" si="4"/>
        <v>184.6</v>
      </c>
      <c r="G13" s="13">
        <f t="shared" si="4"/>
        <v>3.3000000000000114</v>
      </c>
      <c r="H13" s="14">
        <f t="shared" si="2"/>
        <v>187.9</v>
      </c>
      <c r="I13" s="20">
        <v>2016</v>
      </c>
    </row>
    <row r="14" spans="1:9" x14ac:dyDescent="0.3">
      <c r="A14" s="6">
        <f t="shared" si="3"/>
        <v>2970.15</v>
      </c>
      <c r="B14" s="6">
        <f t="shared" si="3"/>
        <v>18160.2</v>
      </c>
      <c r="C14" s="6">
        <f t="shared" si="3"/>
        <v>4701.5099999999993</v>
      </c>
      <c r="D14" s="6">
        <f t="shared" si="3"/>
        <v>430.5</v>
      </c>
      <c r="E14" s="6">
        <f t="shared" si="3"/>
        <v>14.2</v>
      </c>
      <c r="F14" s="13">
        <f t="shared" si="4"/>
        <v>187.9</v>
      </c>
      <c r="G14" s="13">
        <f t="shared" si="4"/>
        <v>3.2999999999999829</v>
      </c>
      <c r="H14" s="14">
        <f t="shared" si="2"/>
        <v>191.2</v>
      </c>
      <c r="I14" s="20">
        <v>2017</v>
      </c>
    </row>
    <row r="15" spans="1:9" x14ac:dyDescent="0.3">
      <c r="A15" s="6">
        <f t="shared" si="3"/>
        <v>2987.39</v>
      </c>
      <c r="B15" s="6">
        <f t="shared" si="3"/>
        <v>20268.769999999997</v>
      </c>
      <c r="C15" s="6">
        <f t="shared" si="3"/>
        <v>4663.7299999999996</v>
      </c>
      <c r="D15" s="6">
        <f t="shared" si="3"/>
        <v>443.3</v>
      </c>
      <c r="E15" s="6">
        <f t="shared" si="3"/>
        <v>16.2</v>
      </c>
      <c r="F15" s="13">
        <f t="shared" si="4"/>
        <v>191.2</v>
      </c>
      <c r="G15" s="13">
        <f t="shared" si="4"/>
        <v>-26.321722135020877</v>
      </c>
      <c r="H15" s="14">
        <f t="shared" si="2"/>
        <v>164.87827786497911</v>
      </c>
      <c r="I15" s="20">
        <v>2018</v>
      </c>
    </row>
    <row r="16" spans="1:9" x14ac:dyDescent="0.3">
      <c r="A16" s="6">
        <f t="shared" si="3"/>
        <v>2992.03</v>
      </c>
      <c r="B16" s="6">
        <f t="shared" si="3"/>
        <v>21365.980000000003</v>
      </c>
      <c r="C16" s="6">
        <f t="shared" si="3"/>
        <v>4713.7700000000004</v>
      </c>
      <c r="D16" s="6">
        <f t="shared" si="3"/>
        <v>414.46208484411858</v>
      </c>
      <c r="E16" s="6">
        <f t="shared" si="3"/>
        <v>30.33985384922693</v>
      </c>
      <c r="F16" s="13">
        <f t="shared" si="4"/>
        <v>164.87827786497911</v>
      </c>
      <c r="G16" s="13">
        <f t="shared" si="4"/>
        <v>11.894738863792497</v>
      </c>
      <c r="H16" s="14">
        <f t="shared" si="2"/>
        <v>176.77301672877161</v>
      </c>
      <c r="I16" s="20">
        <v>2019</v>
      </c>
    </row>
    <row r="17" spans="1:9" x14ac:dyDescent="0.3">
      <c r="A17" s="6">
        <f t="shared" si="3"/>
        <v>2997.58</v>
      </c>
      <c r="B17" s="6">
        <f t="shared" si="3"/>
        <v>22963.34</v>
      </c>
      <c r="C17" s="6">
        <f t="shared" si="3"/>
        <v>4717.45</v>
      </c>
      <c r="D17" s="6">
        <f t="shared" si="3"/>
        <v>458.61340716900486</v>
      </c>
      <c r="E17" s="6">
        <f t="shared" si="3"/>
        <v>28.743019436109719</v>
      </c>
      <c r="F17" s="13">
        <f t="shared" si="4"/>
        <v>176.77301672877161</v>
      </c>
      <c r="G17" s="13">
        <f t="shared" si="4"/>
        <v>-9.8730167287716029</v>
      </c>
      <c r="H17" s="14">
        <f t="shared" si="2"/>
        <v>166.9</v>
      </c>
      <c r="I17" s="20">
        <v>2020</v>
      </c>
    </row>
    <row r="18" spans="1:9" x14ac:dyDescent="0.3">
      <c r="A18" s="6">
        <f t="shared" si="3"/>
        <v>2994.2900000000004</v>
      </c>
      <c r="B18" s="6">
        <f t="shared" si="3"/>
        <v>23837.96</v>
      </c>
      <c r="C18" s="6">
        <f t="shared" si="3"/>
        <v>4758.7700000000004</v>
      </c>
      <c r="D18" s="6">
        <f t="shared" si="3"/>
        <v>391.8</v>
      </c>
      <c r="E18" s="6">
        <f t="shared" si="3"/>
        <v>11.7</v>
      </c>
      <c r="F18" s="13">
        <f t="shared" si="4"/>
        <v>166.9</v>
      </c>
      <c r="G18" s="13">
        <f t="shared" si="4"/>
        <v>-2.4000000000000057</v>
      </c>
      <c r="H18" s="14">
        <f t="shared" si="2"/>
        <v>164.5</v>
      </c>
      <c r="I18" s="20">
        <v>2021</v>
      </c>
    </row>
    <row r="19" spans="1:9" x14ac:dyDescent="0.3">
      <c r="A19" s="6">
        <f t="shared" si="3"/>
        <v>2990.47</v>
      </c>
      <c r="B19" s="6">
        <f t="shared" si="3"/>
        <v>26731.89</v>
      </c>
      <c r="C19" s="6">
        <f t="shared" si="3"/>
        <v>4768</v>
      </c>
      <c r="D19" s="6">
        <f t="shared" si="3"/>
        <v>381.71088513266028</v>
      </c>
      <c r="E19" s="6">
        <f t="shared" si="3"/>
        <v>17.21032645248545</v>
      </c>
      <c r="F19" s="13">
        <f t="shared" si="4"/>
        <v>164.5</v>
      </c>
      <c r="G19" s="13">
        <f t="shared" si="4"/>
        <v>29.800000000000011</v>
      </c>
      <c r="H19" s="14">
        <f t="shared" si="2"/>
        <v>194.3</v>
      </c>
      <c r="I19" s="20">
        <v>2022</v>
      </c>
    </row>
    <row r="20" spans="1:9" x14ac:dyDescent="0.3">
      <c r="A20" s="6">
        <f t="shared" si="3"/>
        <v>2983.71</v>
      </c>
      <c r="B20" s="6">
        <f t="shared" si="3"/>
        <v>28397.05</v>
      </c>
      <c r="C20" s="6">
        <f t="shared" si="3"/>
        <v>4783.75</v>
      </c>
      <c r="D20" s="6">
        <f t="shared" si="3"/>
        <v>459.96596408924211</v>
      </c>
      <c r="E20" s="6">
        <f t="shared" si="3"/>
        <v>15.790918085270157</v>
      </c>
      <c r="F20" s="13">
        <f t="shared" si="4"/>
        <v>194.3</v>
      </c>
      <c r="G20" s="13">
        <f t="shared" si="4"/>
        <v>-29.300000000000011</v>
      </c>
      <c r="H20" s="14">
        <f t="shared" si="2"/>
        <v>165</v>
      </c>
      <c r="I20" s="20">
        <v>2023</v>
      </c>
    </row>
    <row r="22" spans="1:9" ht="37.5" x14ac:dyDescent="0.2">
      <c r="A22" s="21" t="s">
        <v>55</v>
      </c>
      <c r="B22" s="22" t="s">
        <v>54</v>
      </c>
      <c r="C22" s="21" t="s">
        <v>37</v>
      </c>
      <c r="D22" s="21" t="s">
        <v>56</v>
      </c>
      <c r="E22" s="21" t="s">
        <v>57</v>
      </c>
      <c r="F22" s="22" t="s">
        <v>60</v>
      </c>
      <c r="G22" s="22" t="s">
        <v>70</v>
      </c>
    </row>
    <row r="23" spans="1:9" x14ac:dyDescent="0.2">
      <c r="A23" s="21"/>
      <c r="B23" s="21"/>
      <c r="C23" s="21"/>
      <c r="D23" s="21"/>
      <c r="E23" s="21"/>
      <c r="F23" s="21"/>
      <c r="G23" s="21"/>
    </row>
    <row r="33" spans="1:10" ht="20.25" x14ac:dyDescent="0.2">
      <c r="A33" s="7" t="s">
        <v>49</v>
      </c>
      <c r="B33" s="7" t="s">
        <v>50</v>
      </c>
      <c r="C33" s="7" t="s">
        <v>51</v>
      </c>
      <c r="D33" s="7" t="s">
        <v>52</v>
      </c>
      <c r="E33" s="7" t="s">
        <v>53</v>
      </c>
      <c r="F33" s="7" t="s">
        <v>59</v>
      </c>
      <c r="G33" s="7" t="s">
        <v>71</v>
      </c>
      <c r="H33" s="9" t="s">
        <v>58</v>
      </c>
      <c r="J33" s="9" t="s">
        <v>58</v>
      </c>
    </row>
    <row r="34" spans="1:10" x14ac:dyDescent="0.3">
      <c r="A34" s="1">
        <v>3145.13</v>
      </c>
      <c r="B34" s="10">
        <v>1399.92</v>
      </c>
      <c r="C34" s="2">
        <v>4601.3999999999996</v>
      </c>
      <c r="D34" s="3">
        <v>490.30188358599111</v>
      </c>
      <c r="E34" s="16">
        <v>30.073714780374061</v>
      </c>
      <c r="F34" s="4"/>
      <c r="G34" s="4"/>
      <c r="H34" s="14">
        <f t="shared" ref="H34:H53" si="5">J34</f>
        <v>188.30948032558243</v>
      </c>
      <c r="I34" s="19">
        <v>2004</v>
      </c>
      <c r="J34" s="14">
        <v>188.30948032558243</v>
      </c>
    </row>
    <row r="35" spans="1:10" x14ac:dyDescent="0.3">
      <c r="A35" s="1">
        <v>3111</v>
      </c>
      <c r="B35" s="10">
        <v>3745.19</v>
      </c>
      <c r="C35" s="2">
        <v>4601</v>
      </c>
      <c r="D35" s="3">
        <v>482.95943173327476</v>
      </c>
      <c r="E35" s="16">
        <v>28.565593390207813</v>
      </c>
      <c r="F35" s="13">
        <f>H34</f>
        <v>188.30948032558243</v>
      </c>
      <c r="G35" s="13">
        <f>H35-H34</f>
        <v>-2.1138240751920421</v>
      </c>
      <c r="H35" s="14">
        <f t="shared" si="5"/>
        <v>186.19565625039039</v>
      </c>
      <c r="I35" s="19">
        <v>2005</v>
      </c>
      <c r="J35" s="14">
        <v>186.19565625039039</v>
      </c>
    </row>
    <row r="36" spans="1:10" x14ac:dyDescent="0.3">
      <c r="A36" s="1">
        <v>3076.87</v>
      </c>
      <c r="B36" s="10">
        <v>4450</v>
      </c>
      <c r="C36" s="2">
        <v>4459.5</v>
      </c>
      <c r="D36" s="3">
        <v>475.61697988055846</v>
      </c>
      <c r="E36" s="16">
        <v>27.05747200004156</v>
      </c>
      <c r="F36" s="13">
        <f>H35</f>
        <v>186.19565625039039</v>
      </c>
      <c r="G36" s="13">
        <f>H36-H35</f>
        <v>9.5659496284114027</v>
      </c>
      <c r="H36" s="14">
        <f t="shared" si="5"/>
        <v>195.76160587880179</v>
      </c>
      <c r="I36" s="19">
        <v>2006</v>
      </c>
      <c r="J36" s="14">
        <v>195.76160587880179</v>
      </c>
    </row>
    <row r="37" spans="1:10" x14ac:dyDescent="0.3">
      <c r="A37" s="1">
        <v>3042.77</v>
      </c>
      <c r="B37" s="10">
        <v>5287.57</v>
      </c>
      <c r="C37" s="2">
        <v>4460</v>
      </c>
      <c r="D37" s="3">
        <v>468.27452802784217</v>
      </c>
      <c r="E37" s="16">
        <v>25.549350609875308</v>
      </c>
      <c r="F37" s="13">
        <f>H36</f>
        <v>195.76160587880179</v>
      </c>
      <c r="G37" s="13">
        <f>H37-H36</f>
        <v>4.2634756770822548</v>
      </c>
      <c r="H37" s="14">
        <f t="shared" si="5"/>
        <v>200.02508155588404</v>
      </c>
      <c r="I37" s="19">
        <v>2007</v>
      </c>
      <c r="J37" s="14">
        <v>200.02508155588404</v>
      </c>
    </row>
    <row r="38" spans="1:10" x14ac:dyDescent="0.3">
      <c r="A38" s="1">
        <v>3023.97</v>
      </c>
      <c r="B38" s="10">
        <v>6346.29</v>
      </c>
      <c r="C38" s="2">
        <v>4556</v>
      </c>
      <c r="D38" s="3">
        <v>460.93207617512587</v>
      </c>
      <c r="E38" s="16">
        <v>24.041229219709059</v>
      </c>
      <c r="F38" s="13">
        <f>H37</f>
        <v>200.02508155588404</v>
      </c>
      <c r="G38" s="13">
        <f>H38-H37</f>
        <v>0</v>
      </c>
      <c r="H38" s="14">
        <f t="shared" si="5"/>
        <v>200.02508155588404</v>
      </c>
      <c r="I38" s="19">
        <v>2008</v>
      </c>
      <c r="J38" s="14">
        <v>200.02508155588404</v>
      </c>
    </row>
    <row r="39" spans="1:10" x14ac:dyDescent="0.3">
      <c r="A39" s="1">
        <v>3015.02</v>
      </c>
      <c r="B39" s="10">
        <v>7196.89</v>
      </c>
      <c r="C39" s="2">
        <v>4601.2</v>
      </c>
      <c r="D39" s="3">
        <v>453.58962432240952</v>
      </c>
      <c r="E39" s="16">
        <v>22.533107829542807</v>
      </c>
      <c r="F39" s="13">
        <f>H38</f>
        <v>200.02508155588404</v>
      </c>
      <c r="G39" s="13">
        <f>H39-H38</f>
        <v>-3.2603049295334472</v>
      </c>
      <c r="H39" s="14">
        <f t="shared" si="5"/>
        <v>196.7647766263506</v>
      </c>
      <c r="I39" s="19">
        <v>2009</v>
      </c>
      <c r="J39" s="14">
        <v>196.7647766263506</v>
      </c>
    </row>
    <row r="40" spans="1:10" x14ac:dyDescent="0.3">
      <c r="A40" s="1">
        <v>2977</v>
      </c>
      <c r="B40" s="10">
        <v>8920.3700000000008</v>
      </c>
      <c r="C40" s="2">
        <v>4660.6000000000004</v>
      </c>
      <c r="D40" s="5">
        <v>447</v>
      </c>
      <c r="E40" s="17">
        <v>30</v>
      </c>
      <c r="F40" s="13">
        <f>H39</f>
        <v>196.7647766263506</v>
      </c>
      <c r="G40" s="13">
        <f>H40-H39</f>
        <v>-5.4647766263505844</v>
      </c>
      <c r="H40" s="14">
        <f t="shared" si="5"/>
        <v>191.3</v>
      </c>
      <c r="I40" s="19">
        <v>2010</v>
      </c>
      <c r="J40" s="15">
        <v>191.3</v>
      </c>
    </row>
    <row r="41" spans="1:10" x14ac:dyDescent="0.3">
      <c r="A41" s="1">
        <v>2956.6</v>
      </c>
      <c r="B41" s="10">
        <v>10744.32</v>
      </c>
      <c r="C41" s="2">
        <v>4696.7</v>
      </c>
      <c r="D41" s="5">
        <v>442</v>
      </c>
      <c r="E41" s="17">
        <v>27</v>
      </c>
      <c r="F41" s="13">
        <f>H40</f>
        <v>191.3</v>
      </c>
      <c r="G41" s="13">
        <f>H41-H40</f>
        <v>1.0999999999999943</v>
      </c>
      <c r="H41" s="14">
        <f t="shared" si="5"/>
        <v>192.4</v>
      </c>
      <c r="I41" s="19">
        <v>2011</v>
      </c>
      <c r="J41" s="15">
        <v>192.4</v>
      </c>
    </row>
    <row r="42" spans="1:10" x14ac:dyDescent="0.3">
      <c r="A42" s="1">
        <v>2943.7300000000005</v>
      </c>
      <c r="B42" s="10">
        <v>12182.94</v>
      </c>
      <c r="C42" s="2">
        <v>4706.1000000000004</v>
      </c>
      <c r="D42" s="5">
        <v>397</v>
      </c>
      <c r="E42" s="17">
        <v>20</v>
      </c>
      <c r="F42" s="13">
        <f>H41</f>
        <v>192.4</v>
      </c>
      <c r="G42" s="13">
        <f>H42-H41</f>
        <v>-2.9000000000000057</v>
      </c>
      <c r="H42" s="14">
        <f t="shared" si="5"/>
        <v>189.5</v>
      </c>
      <c r="I42" s="19">
        <v>2012</v>
      </c>
      <c r="J42" s="15">
        <v>189.5</v>
      </c>
    </row>
    <row r="43" spans="1:10" x14ac:dyDescent="0.3">
      <c r="A43" s="1">
        <v>2940.49</v>
      </c>
      <c r="B43" s="10">
        <v>13558.880000000001</v>
      </c>
      <c r="C43" s="2">
        <v>4720.59</v>
      </c>
      <c r="D43" s="5">
        <v>417</v>
      </c>
      <c r="E43" s="17">
        <v>21.4</v>
      </c>
      <c r="F43" s="13">
        <f>H42</f>
        <v>189.5</v>
      </c>
      <c r="G43" s="13">
        <f>H43-H42</f>
        <v>-1.9000000000000057</v>
      </c>
      <c r="H43" s="14">
        <f t="shared" si="5"/>
        <v>187.6</v>
      </c>
      <c r="I43" s="19">
        <v>2013</v>
      </c>
      <c r="J43" s="15">
        <v>187.6</v>
      </c>
    </row>
    <row r="44" spans="1:10" x14ac:dyDescent="0.3">
      <c r="A44" s="1">
        <v>2952.06</v>
      </c>
      <c r="B44" s="10">
        <v>15151.490000000002</v>
      </c>
      <c r="C44" s="2">
        <v>4710.49</v>
      </c>
      <c r="D44" s="5">
        <v>405.4</v>
      </c>
      <c r="E44" s="17">
        <v>18.899999999999999</v>
      </c>
      <c r="F44" s="13">
        <f>H43</f>
        <v>187.6</v>
      </c>
      <c r="G44" s="13">
        <f>H44-H43</f>
        <v>3.3000000000000114</v>
      </c>
      <c r="H44" s="14">
        <f t="shared" si="5"/>
        <v>190.9</v>
      </c>
      <c r="I44" s="19">
        <v>2014</v>
      </c>
      <c r="J44" s="15">
        <v>190.9</v>
      </c>
    </row>
    <row r="45" spans="1:10" x14ac:dyDescent="0.3">
      <c r="A45" s="1">
        <v>2957.9</v>
      </c>
      <c r="B45" s="10">
        <v>16564.3</v>
      </c>
      <c r="C45" s="2">
        <v>4728.88</v>
      </c>
      <c r="D45" s="5">
        <v>388.7</v>
      </c>
      <c r="E45" s="17">
        <v>18.100000000000001</v>
      </c>
      <c r="F45" s="13">
        <f>H44</f>
        <v>190.9</v>
      </c>
      <c r="G45" s="13">
        <f>H45-H44</f>
        <v>-6.3000000000000114</v>
      </c>
      <c r="H45" s="14">
        <f t="shared" si="5"/>
        <v>184.6</v>
      </c>
      <c r="I45" s="19">
        <v>2015</v>
      </c>
      <c r="J45" s="15">
        <v>184.6</v>
      </c>
    </row>
    <row r="46" spans="1:10" x14ac:dyDescent="0.3">
      <c r="A46" s="1">
        <v>2970.15</v>
      </c>
      <c r="B46" s="10">
        <v>18160.2</v>
      </c>
      <c r="C46" s="2">
        <v>4701.5099999999993</v>
      </c>
      <c r="D46" s="5">
        <v>430.5</v>
      </c>
      <c r="E46" s="17">
        <v>14.2</v>
      </c>
      <c r="F46" s="13">
        <f>H45</f>
        <v>184.6</v>
      </c>
      <c r="G46" s="13">
        <f>H46-H45</f>
        <v>3.3000000000000114</v>
      </c>
      <c r="H46" s="14">
        <f t="shared" si="5"/>
        <v>187.9</v>
      </c>
      <c r="I46" s="19">
        <v>2016</v>
      </c>
      <c r="J46" s="15">
        <v>187.9</v>
      </c>
    </row>
    <row r="47" spans="1:10" x14ac:dyDescent="0.3">
      <c r="A47" s="1">
        <v>2987.39</v>
      </c>
      <c r="B47" s="10">
        <v>20268.769999999997</v>
      </c>
      <c r="C47" s="2">
        <v>4663.7299999999996</v>
      </c>
      <c r="D47" s="5">
        <v>443.3</v>
      </c>
      <c r="E47" s="17">
        <v>16.2</v>
      </c>
      <c r="F47" s="13">
        <f>H46</f>
        <v>187.9</v>
      </c>
      <c r="G47" s="13">
        <f>H47-H46</f>
        <v>3.2999999999999829</v>
      </c>
      <c r="H47" s="14">
        <f t="shared" si="5"/>
        <v>191.2</v>
      </c>
      <c r="I47" s="19">
        <v>2017</v>
      </c>
      <c r="J47" s="15">
        <v>191.2</v>
      </c>
    </row>
    <row r="48" spans="1:10" x14ac:dyDescent="0.3">
      <c r="A48" s="1">
        <v>2992.03</v>
      </c>
      <c r="B48" s="10">
        <v>21365.980000000003</v>
      </c>
      <c r="C48" s="2">
        <v>4713.7700000000004</v>
      </c>
      <c r="D48" s="5">
        <v>414.46208484411858</v>
      </c>
      <c r="E48" s="17">
        <v>30.33985384922693</v>
      </c>
      <c r="F48" s="13">
        <f>H47</f>
        <v>191.2</v>
      </c>
      <c r="G48" s="13">
        <f>H48-H47</f>
        <v>-26.321722135020877</v>
      </c>
      <c r="H48" s="14">
        <f t="shared" si="5"/>
        <v>164.87827786497911</v>
      </c>
      <c r="I48" s="19">
        <v>2018</v>
      </c>
      <c r="J48" s="15">
        <v>164.87827786497911</v>
      </c>
    </row>
    <row r="49" spans="1:10" x14ac:dyDescent="0.3">
      <c r="A49" s="1">
        <v>2997.58</v>
      </c>
      <c r="B49" s="10">
        <v>22963.34</v>
      </c>
      <c r="C49" s="2">
        <v>4717.45</v>
      </c>
      <c r="D49" s="5">
        <v>458.61340716900486</v>
      </c>
      <c r="E49" s="17">
        <v>28.743019436109719</v>
      </c>
      <c r="F49" s="13">
        <f>H48</f>
        <v>164.87827786497911</v>
      </c>
      <c r="G49" s="13">
        <f>H49-H48</f>
        <v>11.894738863792497</v>
      </c>
      <c r="H49" s="14">
        <f t="shared" si="5"/>
        <v>176.77301672877161</v>
      </c>
      <c r="I49" s="19">
        <v>2019</v>
      </c>
      <c r="J49" s="15">
        <v>176.77301672877161</v>
      </c>
    </row>
    <row r="50" spans="1:10" x14ac:dyDescent="0.3">
      <c r="A50" s="6">
        <v>2994.2900000000004</v>
      </c>
      <c r="B50" s="10">
        <v>23837.96</v>
      </c>
      <c r="C50" s="2">
        <v>4758.7700000000004</v>
      </c>
      <c r="D50" s="5">
        <v>391.8</v>
      </c>
      <c r="E50" s="17">
        <v>11.7</v>
      </c>
      <c r="F50" s="13">
        <f>H49</f>
        <v>176.77301672877161</v>
      </c>
      <c r="G50" s="13">
        <f>H50-H49</f>
        <v>-9.8730167287716029</v>
      </c>
      <c r="H50" s="14">
        <f t="shared" si="5"/>
        <v>166.9</v>
      </c>
      <c r="I50" s="19">
        <v>2020</v>
      </c>
      <c r="J50" s="15">
        <v>166.9</v>
      </c>
    </row>
    <row r="51" spans="1:10" x14ac:dyDescent="0.3">
      <c r="A51" s="6">
        <v>2990.47</v>
      </c>
      <c r="B51" s="10">
        <v>26731.89</v>
      </c>
      <c r="C51" s="2">
        <v>4768</v>
      </c>
      <c r="D51" s="5">
        <v>381.71088513266028</v>
      </c>
      <c r="E51" s="17">
        <v>17.21032645248545</v>
      </c>
      <c r="F51" s="13">
        <f>H50</f>
        <v>166.9</v>
      </c>
      <c r="G51" s="13">
        <f>H51-H50</f>
        <v>-2.4000000000000057</v>
      </c>
      <c r="H51" s="14">
        <f t="shared" si="5"/>
        <v>164.5</v>
      </c>
      <c r="I51" s="19">
        <v>2021</v>
      </c>
      <c r="J51" s="15">
        <v>164.5</v>
      </c>
    </row>
    <row r="52" spans="1:10" x14ac:dyDescent="0.3">
      <c r="A52" s="6">
        <v>2983.71</v>
      </c>
      <c r="B52" s="11">
        <v>28397.05</v>
      </c>
      <c r="C52" s="2">
        <v>4783.75</v>
      </c>
      <c r="D52" s="5">
        <v>459.96596408924211</v>
      </c>
      <c r="E52" s="17">
        <v>15.790918085270157</v>
      </c>
      <c r="F52" s="13">
        <f>H51</f>
        <v>164.5</v>
      </c>
      <c r="G52" s="13">
        <f>H52-H51</f>
        <v>29.800000000000011</v>
      </c>
      <c r="H52" s="14">
        <f t="shared" si="5"/>
        <v>194.3</v>
      </c>
      <c r="I52" s="19">
        <v>2022</v>
      </c>
      <c r="J52" s="15">
        <v>194.3</v>
      </c>
    </row>
    <row r="53" spans="1:10" x14ac:dyDescent="0.3">
      <c r="A53" s="6">
        <v>2981.85</v>
      </c>
      <c r="B53" s="11">
        <v>30081.05</v>
      </c>
      <c r="C53" s="2">
        <v>4799.0600000000004</v>
      </c>
      <c r="D53" s="5">
        <v>386.63805677066728</v>
      </c>
      <c r="E53" s="17">
        <v>15.7022050623192</v>
      </c>
      <c r="F53" s="13">
        <f>H52</f>
        <v>194.3</v>
      </c>
      <c r="G53" s="13">
        <f>H53-H52</f>
        <v>-29.300000000000011</v>
      </c>
      <c r="H53" s="14">
        <f t="shared" si="5"/>
        <v>165</v>
      </c>
      <c r="I53" s="19">
        <v>2023</v>
      </c>
      <c r="J53" s="15">
        <v>165</v>
      </c>
    </row>
    <row r="57" spans="1:10" ht="45" customHeight="1" x14ac:dyDescent="0.2">
      <c r="A57" s="26" t="s">
        <v>72</v>
      </c>
      <c r="B57" s="26"/>
      <c r="C57" s="26"/>
      <c r="D57" s="26"/>
      <c r="E57" s="26"/>
    </row>
    <row r="58" spans="1:10" ht="37.5" x14ac:dyDescent="0.2">
      <c r="A58" s="21" t="s">
        <v>55</v>
      </c>
      <c r="B58" s="22" t="s">
        <v>54</v>
      </c>
      <c r="C58" s="21" t="s">
        <v>37</v>
      </c>
      <c r="D58" s="21" t="s">
        <v>56</v>
      </c>
      <c r="E58" s="21" t="s">
        <v>57</v>
      </c>
    </row>
    <row r="59" spans="1:10" x14ac:dyDescent="0.2">
      <c r="A59" s="25">
        <f>A35-A34</f>
        <v>-34.130000000000109</v>
      </c>
      <c r="B59" s="25">
        <f t="shared" ref="B59:E59" si="6">B35-B34</f>
        <v>2345.27</v>
      </c>
      <c r="C59" s="25">
        <f t="shared" si="6"/>
        <v>-0.3999999999996362</v>
      </c>
      <c r="D59" s="25">
        <f t="shared" si="6"/>
        <v>-7.3424518527163514</v>
      </c>
      <c r="E59" s="25">
        <f t="shared" si="6"/>
        <v>-1.5081213901662487</v>
      </c>
    </row>
    <row r="60" spans="1:10" x14ac:dyDescent="0.2">
      <c r="A60" s="25">
        <f t="shared" ref="A60:E77" si="7">A36-A35</f>
        <v>-34.130000000000109</v>
      </c>
      <c r="B60" s="25">
        <f t="shared" si="7"/>
        <v>704.81</v>
      </c>
      <c r="C60" s="25">
        <f t="shared" si="7"/>
        <v>-141.5</v>
      </c>
      <c r="D60" s="25">
        <f t="shared" si="7"/>
        <v>-7.3424518527162945</v>
      </c>
      <c r="E60" s="25">
        <f t="shared" si="7"/>
        <v>-1.5081213901662522</v>
      </c>
    </row>
    <row r="61" spans="1:10" x14ac:dyDescent="0.2">
      <c r="A61" s="25">
        <f t="shared" si="7"/>
        <v>-34.099999999999909</v>
      </c>
      <c r="B61" s="25">
        <f t="shared" si="7"/>
        <v>837.56999999999971</v>
      </c>
      <c r="C61" s="25">
        <f t="shared" si="7"/>
        <v>0.5</v>
      </c>
      <c r="D61" s="25">
        <f t="shared" si="7"/>
        <v>-7.3424518527162945</v>
      </c>
      <c r="E61" s="25">
        <f t="shared" si="7"/>
        <v>-1.5081213901662522</v>
      </c>
    </row>
    <row r="62" spans="1:10" x14ac:dyDescent="0.2">
      <c r="A62" s="25">
        <f t="shared" si="7"/>
        <v>-18.800000000000182</v>
      </c>
      <c r="B62" s="25">
        <f t="shared" si="7"/>
        <v>1058.7200000000003</v>
      </c>
      <c r="C62" s="25">
        <f t="shared" si="7"/>
        <v>96</v>
      </c>
      <c r="D62" s="25">
        <f t="shared" si="7"/>
        <v>-7.3424518527162945</v>
      </c>
      <c r="E62" s="25">
        <f t="shared" si="7"/>
        <v>-1.5081213901662487</v>
      </c>
    </row>
    <row r="63" spans="1:10" x14ac:dyDescent="0.2">
      <c r="A63" s="25">
        <f t="shared" si="7"/>
        <v>-8.9499999999998181</v>
      </c>
      <c r="B63" s="25">
        <f t="shared" si="7"/>
        <v>850.60000000000036</v>
      </c>
      <c r="C63" s="25">
        <f t="shared" si="7"/>
        <v>45.199999999999818</v>
      </c>
      <c r="D63" s="25">
        <f t="shared" si="7"/>
        <v>-7.3424518527163514</v>
      </c>
      <c r="E63" s="25">
        <f t="shared" si="7"/>
        <v>-1.5081213901662522</v>
      </c>
    </row>
    <row r="64" spans="1:10" x14ac:dyDescent="0.2">
      <c r="A64" s="25">
        <f t="shared" si="7"/>
        <v>-38.019999999999982</v>
      </c>
      <c r="B64" s="25">
        <f t="shared" si="7"/>
        <v>1723.4800000000005</v>
      </c>
      <c r="C64" s="25">
        <f t="shared" si="7"/>
        <v>59.400000000000546</v>
      </c>
      <c r="D64" s="25">
        <f t="shared" si="7"/>
        <v>-6.5896243224095201</v>
      </c>
      <c r="E64" s="25">
        <f t="shared" si="7"/>
        <v>7.4668921704571929</v>
      </c>
    </row>
    <row r="65" spans="1:5" x14ac:dyDescent="0.2">
      <c r="A65" s="25">
        <f t="shared" si="7"/>
        <v>-20.400000000000091</v>
      </c>
      <c r="B65" s="25">
        <f t="shared" si="7"/>
        <v>1823.9499999999989</v>
      </c>
      <c r="C65" s="25">
        <f t="shared" si="7"/>
        <v>36.099999999999454</v>
      </c>
      <c r="D65" s="25">
        <f t="shared" si="7"/>
        <v>-5</v>
      </c>
      <c r="E65" s="25">
        <f t="shared" si="7"/>
        <v>-3</v>
      </c>
    </row>
    <row r="66" spans="1:5" x14ac:dyDescent="0.2">
      <c r="A66" s="25">
        <f t="shared" si="7"/>
        <v>-12.869999999999436</v>
      </c>
      <c r="B66" s="25">
        <f t="shared" si="7"/>
        <v>1438.6200000000008</v>
      </c>
      <c r="C66" s="25">
        <f t="shared" si="7"/>
        <v>9.4000000000005457</v>
      </c>
      <c r="D66" s="25">
        <f t="shared" si="7"/>
        <v>-45</v>
      </c>
      <c r="E66" s="25">
        <f t="shared" si="7"/>
        <v>-7</v>
      </c>
    </row>
    <row r="67" spans="1:5" x14ac:dyDescent="0.2">
      <c r="A67" s="25">
        <f t="shared" si="7"/>
        <v>-3.2400000000006912</v>
      </c>
      <c r="B67" s="25">
        <f t="shared" si="7"/>
        <v>1375.9400000000005</v>
      </c>
      <c r="C67" s="25">
        <f t="shared" si="7"/>
        <v>14.489999999999782</v>
      </c>
      <c r="D67" s="25">
        <f t="shared" si="7"/>
        <v>20</v>
      </c>
      <c r="E67" s="25">
        <f t="shared" si="7"/>
        <v>1.3999999999999986</v>
      </c>
    </row>
    <row r="68" spans="1:5" x14ac:dyDescent="0.2">
      <c r="A68" s="25">
        <f t="shared" si="7"/>
        <v>11.570000000000164</v>
      </c>
      <c r="B68" s="25">
        <f t="shared" si="7"/>
        <v>1592.6100000000006</v>
      </c>
      <c r="C68" s="25">
        <f t="shared" si="7"/>
        <v>-10.100000000000364</v>
      </c>
      <c r="D68" s="25">
        <f t="shared" si="7"/>
        <v>-11.600000000000023</v>
      </c>
      <c r="E68" s="25">
        <f t="shared" si="7"/>
        <v>-2.5</v>
      </c>
    </row>
    <row r="69" spans="1:5" x14ac:dyDescent="0.2">
      <c r="A69" s="25">
        <f t="shared" si="7"/>
        <v>5.8400000000001455</v>
      </c>
      <c r="B69" s="25">
        <f t="shared" si="7"/>
        <v>1412.8099999999977</v>
      </c>
      <c r="C69" s="25">
        <f t="shared" si="7"/>
        <v>18.390000000000327</v>
      </c>
      <c r="D69" s="25">
        <f t="shared" si="7"/>
        <v>-16.699999999999989</v>
      </c>
      <c r="E69" s="25">
        <f t="shared" si="7"/>
        <v>-0.79999999999999716</v>
      </c>
    </row>
    <row r="70" spans="1:5" x14ac:dyDescent="0.2">
      <c r="A70" s="25">
        <f t="shared" si="7"/>
        <v>12.25</v>
      </c>
      <c r="B70" s="25">
        <f t="shared" si="7"/>
        <v>1595.9000000000015</v>
      </c>
      <c r="C70" s="25">
        <f t="shared" si="7"/>
        <v>-27.3700000000008</v>
      </c>
      <c r="D70" s="25">
        <f t="shared" si="7"/>
        <v>41.800000000000011</v>
      </c>
      <c r="E70" s="25">
        <f t="shared" si="7"/>
        <v>-3.9000000000000021</v>
      </c>
    </row>
    <row r="71" spans="1:5" x14ac:dyDescent="0.2">
      <c r="A71" s="25">
        <f t="shared" si="7"/>
        <v>17.239999999999782</v>
      </c>
      <c r="B71" s="25">
        <f t="shared" si="7"/>
        <v>2108.5699999999961</v>
      </c>
      <c r="C71" s="25">
        <f t="shared" si="7"/>
        <v>-37.779999999999745</v>
      </c>
      <c r="D71" s="25">
        <f t="shared" si="7"/>
        <v>12.800000000000011</v>
      </c>
      <c r="E71" s="25">
        <f t="shared" si="7"/>
        <v>2</v>
      </c>
    </row>
    <row r="72" spans="1:5" x14ac:dyDescent="0.2">
      <c r="A72" s="25">
        <f t="shared" si="7"/>
        <v>4.6400000000003274</v>
      </c>
      <c r="B72" s="25">
        <f t="shared" si="7"/>
        <v>1097.2100000000064</v>
      </c>
      <c r="C72" s="25">
        <f t="shared" si="7"/>
        <v>50.040000000000873</v>
      </c>
      <c r="D72" s="25">
        <f t="shared" si="7"/>
        <v>-28.837915155881433</v>
      </c>
      <c r="E72" s="25">
        <f t="shared" si="7"/>
        <v>14.139853849226931</v>
      </c>
    </row>
    <row r="73" spans="1:5" x14ac:dyDescent="0.2">
      <c r="A73" s="25">
        <f t="shared" si="7"/>
        <v>5.5499999999997272</v>
      </c>
      <c r="B73" s="25">
        <f t="shared" si="7"/>
        <v>1597.3599999999969</v>
      </c>
      <c r="C73" s="25">
        <f t="shared" si="7"/>
        <v>3.6799999999993815</v>
      </c>
      <c r="D73" s="25">
        <f t="shared" si="7"/>
        <v>44.15132232488628</v>
      </c>
      <c r="E73" s="25">
        <f t="shared" si="7"/>
        <v>-1.596834413117211</v>
      </c>
    </row>
    <row r="74" spans="1:5" x14ac:dyDescent="0.2">
      <c r="A74" s="25">
        <f t="shared" si="7"/>
        <v>-3.2899999999995089</v>
      </c>
      <c r="B74" s="25">
        <f t="shared" si="7"/>
        <v>874.61999999999898</v>
      </c>
      <c r="C74" s="25">
        <f t="shared" si="7"/>
        <v>41.320000000000618</v>
      </c>
      <c r="D74" s="25">
        <f t="shared" si="7"/>
        <v>-66.813407169004847</v>
      </c>
      <c r="E74" s="25">
        <f t="shared" si="7"/>
        <v>-17.04301943610972</v>
      </c>
    </row>
    <row r="75" spans="1:5" x14ac:dyDescent="0.2">
      <c r="A75" s="25">
        <f t="shared" si="7"/>
        <v>-3.8200000000006185</v>
      </c>
      <c r="B75" s="25">
        <f t="shared" si="7"/>
        <v>2893.9300000000003</v>
      </c>
      <c r="C75" s="25">
        <f t="shared" si="7"/>
        <v>9.2299999999995634</v>
      </c>
      <c r="D75" s="25">
        <f t="shared" si="7"/>
        <v>-10.089114867339731</v>
      </c>
      <c r="E75" s="25">
        <f t="shared" si="7"/>
        <v>5.5103264524854509</v>
      </c>
    </row>
    <row r="76" spans="1:5" x14ac:dyDescent="0.2">
      <c r="A76" s="25">
        <f t="shared" si="7"/>
        <v>-6.7599999999997635</v>
      </c>
      <c r="B76" s="25">
        <f t="shared" si="7"/>
        <v>1665.1599999999999</v>
      </c>
      <c r="C76" s="25">
        <f t="shared" si="7"/>
        <v>15.75</v>
      </c>
      <c r="D76" s="25">
        <f t="shared" si="7"/>
        <v>78.255078956581826</v>
      </c>
      <c r="E76" s="25">
        <f t="shared" si="7"/>
        <v>-1.4194083672152935</v>
      </c>
    </row>
    <row r="77" spans="1:5" x14ac:dyDescent="0.2">
      <c r="A77" s="25">
        <f t="shared" si="7"/>
        <v>-1.8600000000001273</v>
      </c>
      <c r="B77" s="25">
        <f t="shared" si="7"/>
        <v>1684</v>
      </c>
      <c r="C77" s="25">
        <f t="shared" si="7"/>
        <v>15.3100000000004</v>
      </c>
      <c r="D77" s="25">
        <f t="shared" si="7"/>
        <v>-73.32790731857483</v>
      </c>
      <c r="E77" s="25">
        <f t="shared" si="7"/>
        <v>-8.8713022950956955E-2</v>
      </c>
    </row>
    <row r="78" spans="1:5" x14ac:dyDescent="0.2">
      <c r="A78" s="25"/>
    </row>
    <row r="79" spans="1:5" x14ac:dyDescent="0.2">
      <c r="A79" s="25"/>
    </row>
    <row r="80" spans="1:5" x14ac:dyDescent="0.2">
      <c r="A80" s="25"/>
    </row>
    <row r="81" spans="1:1" x14ac:dyDescent="0.2">
      <c r="A81" s="25"/>
    </row>
    <row r="82" spans="1:1" x14ac:dyDescent="0.2">
      <c r="A82" s="25"/>
    </row>
    <row r="83" spans="1:1" x14ac:dyDescent="0.2">
      <c r="A83" s="25"/>
    </row>
    <row r="114" spans="1:9" x14ac:dyDescent="0.2">
      <c r="A114" s="23" t="s">
        <v>4</v>
      </c>
      <c r="B114" s="24">
        <v>1</v>
      </c>
      <c r="C114" s="24">
        <v>2</v>
      </c>
      <c r="D114" s="24">
        <v>3</v>
      </c>
      <c r="E114" s="24">
        <v>4</v>
      </c>
      <c r="F114" s="24"/>
      <c r="G114" s="24"/>
      <c r="H114" s="24">
        <v>5</v>
      </c>
      <c r="I114" s="24">
        <v>9</v>
      </c>
    </row>
    <row r="115" spans="1:9" ht="36" x14ac:dyDescent="0.2">
      <c r="A115" s="23" t="s">
        <v>5</v>
      </c>
      <c r="B115" s="24" t="s">
        <v>0</v>
      </c>
      <c r="C115" s="24" t="s">
        <v>17</v>
      </c>
      <c r="D115" s="24" t="s">
        <v>21</v>
      </c>
      <c r="E115" s="24" t="s">
        <v>24</v>
      </c>
      <c r="F115" s="24"/>
      <c r="G115" s="24"/>
      <c r="H115" s="24" t="s">
        <v>27</v>
      </c>
      <c r="I115" s="24" t="s">
        <v>46</v>
      </c>
    </row>
    <row r="116" spans="1:9" x14ac:dyDescent="0.2">
      <c r="A116" s="23" t="s">
        <v>6</v>
      </c>
      <c r="B116" s="24" t="s">
        <v>12</v>
      </c>
      <c r="C116" s="24" t="s">
        <v>18</v>
      </c>
      <c r="D116" s="24" t="s">
        <v>22</v>
      </c>
      <c r="E116" s="24" t="s">
        <v>25</v>
      </c>
      <c r="F116" s="24"/>
      <c r="G116" s="24"/>
      <c r="H116" s="24" t="s">
        <v>28</v>
      </c>
      <c r="I116" s="24" t="s">
        <v>47</v>
      </c>
    </row>
    <row r="117" spans="1:9" x14ac:dyDescent="0.2">
      <c r="A117" s="23" t="s">
        <v>7</v>
      </c>
      <c r="B117" s="24" t="s">
        <v>1</v>
      </c>
      <c r="C117" s="24" t="s">
        <v>2</v>
      </c>
      <c r="D117" s="24" t="s">
        <v>2</v>
      </c>
      <c r="E117" s="24" t="s">
        <v>2</v>
      </c>
      <c r="F117" s="24"/>
      <c r="G117" s="24"/>
      <c r="H117" s="24" t="s">
        <v>29</v>
      </c>
      <c r="I117" s="24" t="s">
        <v>3</v>
      </c>
    </row>
    <row r="118" spans="1:9" x14ac:dyDescent="0.2">
      <c r="A118" s="23" t="s">
        <v>8</v>
      </c>
      <c r="B118" s="24" t="s">
        <v>13</v>
      </c>
      <c r="C118" s="24" t="s">
        <v>19</v>
      </c>
      <c r="D118" s="24" t="s">
        <v>13</v>
      </c>
      <c r="E118" s="24" t="s">
        <v>13</v>
      </c>
      <c r="F118" s="24"/>
      <c r="G118" s="24"/>
      <c r="H118" s="24" t="s">
        <v>30</v>
      </c>
      <c r="I118" s="24" t="s">
        <v>44</v>
      </c>
    </row>
    <row r="119" spans="1:9" ht="90" x14ac:dyDescent="0.2">
      <c r="A119" s="23" t="s">
        <v>9</v>
      </c>
      <c r="B119" s="24" t="s">
        <v>14</v>
      </c>
      <c r="C119" s="24" t="s">
        <v>20</v>
      </c>
      <c r="D119" s="24" t="s">
        <v>23</v>
      </c>
      <c r="E119" s="24" t="s">
        <v>26</v>
      </c>
      <c r="F119" s="24"/>
      <c r="G119" s="24"/>
      <c r="H119" s="24" t="s">
        <v>31</v>
      </c>
      <c r="I119" s="24" t="s">
        <v>48</v>
      </c>
    </row>
    <row r="120" spans="1:9" x14ac:dyDescent="0.2">
      <c r="A120" s="23" t="s">
        <v>10</v>
      </c>
      <c r="B120" s="24" t="s">
        <v>15</v>
      </c>
      <c r="C120" s="24" t="s">
        <v>15</v>
      </c>
      <c r="D120" s="24" t="s">
        <v>15</v>
      </c>
      <c r="E120" s="24" t="s">
        <v>15</v>
      </c>
      <c r="F120" s="24"/>
      <c r="G120" s="24"/>
      <c r="H120" s="24" t="s">
        <v>32</v>
      </c>
      <c r="I120" s="24" t="s">
        <v>32</v>
      </c>
    </row>
    <row r="121" spans="1:9" ht="36" x14ac:dyDescent="0.2">
      <c r="A121" s="23" t="s">
        <v>11</v>
      </c>
      <c r="B121" s="24" t="s">
        <v>16</v>
      </c>
      <c r="C121" s="24" t="s">
        <v>16</v>
      </c>
      <c r="D121" s="24" t="s">
        <v>16</v>
      </c>
      <c r="E121" s="24" t="s">
        <v>16</v>
      </c>
      <c r="F121" s="24"/>
      <c r="G121" s="24"/>
      <c r="H121" s="24" t="s">
        <v>33</v>
      </c>
      <c r="I121" s="24" t="s">
        <v>33</v>
      </c>
    </row>
    <row r="122" spans="1:9" x14ac:dyDescent="0.2">
      <c r="A122" s="24"/>
      <c r="B122" s="24"/>
      <c r="C122" s="24"/>
      <c r="D122" s="24"/>
      <c r="E122" s="24"/>
      <c r="F122" s="24"/>
      <c r="G122" s="24"/>
    </row>
    <row r="123" spans="1:9" x14ac:dyDescent="0.2">
      <c r="A123" s="24"/>
      <c r="B123" s="24"/>
      <c r="C123" s="24"/>
      <c r="D123" s="24"/>
      <c r="E123" s="24"/>
      <c r="F123" s="24"/>
      <c r="G123" s="24"/>
    </row>
    <row r="124" spans="1:9" x14ac:dyDescent="0.2">
      <c r="A124" s="23"/>
      <c r="B124" s="23"/>
      <c r="C124" s="23"/>
      <c r="D124" s="23"/>
      <c r="E124" s="23"/>
      <c r="F124" s="23"/>
      <c r="G124" s="23"/>
      <c r="H124" s="23"/>
    </row>
    <row r="125" spans="1:9" x14ac:dyDescent="0.2">
      <c r="A125" s="24"/>
      <c r="B125" s="24"/>
      <c r="C125" s="24"/>
      <c r="D125" s="24"/>
      <c r="E125" s="24"/>
      <c r="F125" s="24"/>
      <c r="G125" s="24"/>
      <c r="H125" s="24"/>
    </row>
    <row r="126" spans="1:9" x14ac:dyDescent="0.2">
      <c r="A126" s="23" t="s">
        <v>4</v>
      </c>
      <c r="B126" s="23" t="s">
        <v>5</v>
      </c>
      <c r="C126" s="23" t="s">
        <v>6</v>
      </c>
      <c r="D126" s="23" t="s">
        <v>7</v>
      </c>
      <c r="E126" s="23" t="s">
        <v>8</v>
      </c>
      <c r="F126" s="23"/>
      <c r="G126" s="23"/>
      <c r="H126" s="23" t="s">
        <v>9</v>
      </c>
    </row>
    <row r="127" spans="1:9" ht="72" x14ac:dyDescent="0.2">
      <c r="A127" s="24">
        <v>1</v>
      </c>
      <c r="B127" s="24" t="s">
        <v>0</v>
      </c>
      <c r="C127" s="24" t="s">
        <v>12</v>
      </c>
      <c r="D127" s="24" t="s">
        <v>1</v>
      </c>
      <c r="E127" s="24" t="s">
        <v>13</v>
      </c>
      <c r="F127" s="24"/>
      <c r="G127" s="24"/>
      <c r="H127" s="24" t="s">
        <v>14</v>
      </c>
    </row>
    <row r="128" spans="1:9" ht="72" x14ac:dyDescent="0.2">
      <c r="A128" s="24">
        <v>2</v>
      </c>
      <c r="B128" s="24" t="s">
        <v>17</v>
      </c>
      <c r="C128" s="24" t="s">
        <v>18</v>
      </c>
      <c r="D128" s="24" t="s">
        <v>2</v>
      </c>
      <c r="E128" s="24" t="s">
        <v>19</v>
      </c>
      <c r="F128" s="24"/>
      <c r="G128" s="24"/>
      <c r="H128" s="24" t="s">
        <v>20</v>
      </c>
    </row>
    <row r="129" spans="1:8" ht="54" x14ac:dyDescent="0.2">
      <c r="A129" s="24">
        <v>3</v>
      </c>
      <c r="B129" s="24" t="s">
        <v>21</v>
      </c>
      <c r="C129" s="24" t="s">
        <v>22</v>
      </c>
      <c r="D129" s="24" t="s">
        <v>2</v>
      </c>
      <c r="E129" s="24" t="s">
        <v>13</v>
      </c>
      <c r="F129" s="24"/>
      <c r="G129" s="24"/>
      <c r="H129" s="24" t="s">
        <v>23</v>
      </c>
    </row>
    <row r="130" spans="1:8" ht="72" x14ac:dyDescent="0.2">
      <c r="A130" s="24">
        <v>4</v>
      </c>
      <c r="B130" s="24" t="s">
        <v>24</v>
      </c>
      <c r="C130" s="24" t="s">
        <v>25</v>
      </c>
      <c r="D130" s="24" t="s">
        <v>2</v>
      </c>
      <c r="E130" s="24" t="s">
        <v>13</v>
      </c>
      <c r="F130" s="24"/>
      <c r="G130" s="24"/>
      <c r="H130" s="24" t="s">
        <v>26</v>
      </c>
    </row>
    <row r="131" spans="1:8" ht="54" x14ac:dyDescent="0.2">
      <c r="A131" s="24">
        <v>5</v>
      </c>
      <c r="B131" s="24" t="s">
        <v>27</v>
      </c>
      <c r="C131" s="24" t="s">
        <v>28</v>
      </c>
      <c r="D131" s="24" t="s">
        <v>29</v>
      </c>
      <c r="E131" s="24" t="s">
        <v>30</v>
      </c>
      <c r="F131" s="24"/>
      <c r="G131" s="24"/>
      <c r="H131" s="24" t="s">
        <v>31</v>
      </c>
    </row>
    <row r="132" spans="1:8" ht="54" x14ac:dyDescent="0.2">
      <c r="A132" s="24">
        <v>6</v>
      </c>
      <c r="B132" s="24" t="s">
        <v>34</v>
      </c>
      <c r="C132" s="24" t="s">
        <v>35</v>
      </c>
      <c r="D132" s="24" t="s">
        <v>29</v>
      </c>
      <c r="E132" s="24" t="s">
        <v>30</v>
      </c>
      <c r="F132" s="24"/>
      <c r="G132" s="24"/>
      <c r="H132" s="24" t="s">
        <v>36</v>
      </c>
    </row>
    <row r="133" spans="1:8" ht="54" x14ac:dyDescent="0.2">
      <c r="A133" s="24">
        <v>7</v>
      </c>
      <c r="B133" s="24" t="s">
        <v>37</v>
      </c>
      <c r="C133" s="24" t="s">
        <v>38</v>
      </c>
      <c r="D133" s="24" t="s">
        <v>39</v>
      </c>
      <c r="E133" s="24" t="s">
        <v>13</v>
      </c>
      <c r="F133" s="24"/>
      <c r="G133" s="24"/>
      <c r="H133" s="24" t="s">
        <v>40</v>
      </c>
    </row>
    <row r="134" spans="1:8" ht="54" x14ac:dyDescent="0.2">
      <c r="A134" s="24">
        <v>8</v>
      </c>
      <c r="B134" s="24" t="s">
        <v>41</v>
      </c>
      <c r="C134" s="24" t="s">
        <v>42</v>
      </c>
      <c r="D134" s="24" t="s">
        <v>43</v>
      </c>
      <c r="E134" s="24" t="s">
        <v>44</v>
      </c>
      <c r="F134" s="24"/>
      <c r="G134" s="24"/>
      <c r="H134" s="24" t="s">
        <v>45</v>
      </c>
    </row>
    <row r="135" spans="1:8" ht="54" x14ac:dyDescent="0.2">
      <c r="A135" s="24">
        <v>9</v>
      </c>
      <c r="B135" s="24" t="s">
        <v>46</v>
      </c>
      <c r="C135" s="24" t="s">
        <v>47</v>
      </c>
      <c r="D135" s="24" t="s">
        <v>3</v>
      </c>
      <c r="E135" s="24" t="s">
        <v>44</v>
      </c>
      <c r="F135" s="24"/>
      <c r="G135" s="24"/>
      <c r="H135" s="24" t="s">
        <v>48</v>
      </c>
    </row>
  </sheetData>
  <mergeCells count="1">
    <mergeCell ref="A57:E57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Bingyi Zhou</cp:lastModifiedBy>
  <dcterms:created xsi:type="dcterms:W3CDTF">2015-06-05T18:19:34Z</dcterms:created>
  <dcterms:modified xsi:type="dcterms:W3CDTF">2025-12-30T15:26:29Z</dcterms:modified>
</cp:coreProperties>
</file>