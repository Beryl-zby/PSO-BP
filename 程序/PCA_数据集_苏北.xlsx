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F:\大论文\需水预测\PSO-BP神经网络回归预测模型（粒子群算法优化BP神经网络）\程序\"/>
    </mc:Choice>
  </mc:AlternateContent>
  <xr:revisionPtr revIDLastSave="0" documentId="13_ncr:1_{4A8710D2-3410-46EE-AF59-6FC538F62749}" xr6:coauthVersionLast="47" xr6:coauthVersionMax="47" xr10:uidLastSave="{00000000-0000-0000-0000-000000000000}"/>
  <bookViews>
    <workbookView xWindow="390" yWindow="390" windowWidth="28605" windowHeight="10560" xr2:uid="{00000000-000D-0000-FFFF-FFFF00000000}"/>
  </bookViews>
  <sheets>
    <sheet name="Sheet1" sheetId="1" r:id="rId1"/>
  </sheets>
  <definedNames>
    <definedName name="_xlnm._FilterDatabase" localSheetId="0" hidden="1">Sheet1!#REF!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59" i="1" l="1"/>
  <c r="C59" i="1"/>
  <c r="B60" i="1"/>
  <c r="C60" i="1"/>
  <c r="B61" i="1"/>
  <c r="C61" i="1"/>
  <c r="B62" i="1"/>
  <c r="C62" i="1"/>
  <c r="B63" i="1"/>
  <c r="C63" i="1"/>
  <c r="B64" i="1"/>
  <c r="C64" i="1"/>
  <c r="B65" i="1"/>
  <c r="C65" i="1"/>
  <c r="B66" i="1"/>
  <c r="C66" i="1"/>
  <c r="B67" i="1"/>
  <c r="C67" i="1"/>
  <c r="B68" i="1"/>
  <c r="C68" i="1"/>
  <c r="B69" i="1"/>
  <c r="C69" i="1"/>
  <c r="B70" i="1"/>
  <c r="C70" i="1"/>
  <c r="B71" i="1"/>
  <c r="C71" i="1"/>
  <c r="B72" i="1"/>
  <c r="C72" i="1"/>
  <c r="B73" i="1"/>
  <c r="C73" i="1"/>
  <c r="B74" i="1"/>
  <c r="C74" i="1"/>
  <c r="B75" i="1"/>
  <c r="C75" i="1"/>
  <c r="B76" i="1"/>
  <c r="C76" i="1"/>
  <c r="B77" i="1"/>
  <c r="C77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59" i="1"/>
  <c r="D35" i="1" l="1"/>
  <c r="D2" i="1" s="1"/>
  <c r="D36" i="1"/>
  <c r="D37" i="1"/>
  <c r="D38" i="1"/>
  <c r="D39" i="1"/>
  <c r="D40" i="1"/>
  <c r="D41" i="1"/>
  <c r="D8" i="1" s="1"/>
  <c r="D42" i="1"/>
  <c r="D9" i="1" s="1"/>
  <c r="D43" i="1"/>
  <c r="D44" i="1"/>
  <c r="D45" i="1"/>
  <c r="D46" i="1"/>
  <c r="D47" i="1"/>
  <c r="D48" i="1"/>
  <c r="D49" i="1"/>
  <c r="D50" i="1"/>
  <c r="D51" i="1"/>
  <c r="D52" i="1"/>
  <c r="D53" i="1"/>
  <c r="D20" i="1" s="1"/>
  <c r="D34" i="1"/>
  <c r="D10" i="1" l="1"/>
  <c r="D11" i="1"/>
  <c r="D4" i="1"/>
  <c r="D17" i="1"/>
  <c r="D18" i="1"/>
  <c r="D14" i="1"/>
  <c r="D12" i="1"/>
  <c r="D13" i="1"/>
  <c r="D7" i="1"/>
  <c r="D6" i="1"/>
  <c r="D19" i="1"/>
  <c r="D3" i="1"/>
  <c r="D16" i="1"/>
  <c r="D5" i="1"/>
  <c r="D15" i="1"/>
</calcChain>
</file>

<file path=xl/sharedStrings.xml><?xml version="1.0" encoding="utf-8"?>
<sst xmlns="http://schemas.openxmlformats.org/spreadsheetml/2006/main" count="84" uniqueCount="59">
  <si>
    <t>常住人口</t>
  </si>
  <si>
    <t>万人</t>
  </si>
  <si>
    <t>亿元</t>
  </si>
  <si>
    <t>m³/万元</t>
  </si>
  <si>
    <t>序号</t>
  </si>
  <si>
    <t>变量名称</t>
  </si>
  <si>
    <t>符号</t>
  </si>
  <si>
    <t>单位</t>
  </si>
  <si>
    <t>变量类型</t>
  </si>
  <si>
    <t>含义说明</t>
  </si>
  <si>
    <t>数据来源</t>
  </si>
  <si>
    <t>是否用于不确定性分析</t>
  </si>
  <si>
    <t>X1X_1X1​</t>
  </si>
  <si>
    <t>规模变量</t>
  </si>
  <si>
    <t>反映区域生活用水的刚性需求规模，是经济社会需水变化的基础约束条件</t>
  </si>
  <si>
    <t>统计年鉴</t>
  </si>
  <si>
    <t>是（情景扰动）</t>
  </si>
  <si>
    <t>第一产业增加值</t>
  </si>
  <si>
    <t>X2X_2X2​</t>
  </si>
  <si>
    <t>规模/结构变量</t>
  </si>
  <si>
    <t>表征农业经济活动水平，反映农业生产结构及投入强度变化</t>
  </si>
  <si>
    <t>第二产业增加值</t>
  </si>
  <si>
    <t>X3X_3X3​</t>
  </si>
  <si>
    <t>表征工业经济活动规模，对工业用水需求具有直接影响</t>
  </si>
  <si>
    <t>第三产业增加值</t>
  </si>
  <si>
    <t>X4X_4X4​</t>
  </si>
  <si>
    <t>表征服务业发展水平，反映非工业经济活动对用水需求的影响</t>
  </si>
  <si>
    <t>城镇生活人均用水量</t>
  </si>
  <si>
    <t>X5X_5X5​</t>
  </si>
  <si>
    <t>L/(人·d)</t>
  </si>
  <si>
    <t>行为/效率变量</t>
  </si>
  <si>
    <t>反映城镇居民生活用水行为与节水水平变化</t>
  </si>
  <si>
    <t>水资源公报</t>
  </si>
  <si>
    <t>是（参数扰动）</t>
  </si>
  <si>
    <t>农村生活人均用水量</t>
  </si>
  <si>
    <t>X6X_6X6​</t>
  </si>
  <si>
    <t>反映农村居民生活用水特征及生活方式变化</t>
  </si>
  <si>
    <t>农作物播种面积</t>
  </si>
  <si>
    <t>X7X_7X7​</t>
  </si>
  <si>
    <t>表征农业生产物理规模，是农业需水量的重要基础指标</t>
  </si>
  <si>
    <t>亩均灌溉用水量</t>
  </si>
  <si>
    <t>X8X_8X8​</t>
  </si>
  <si>
    <t>效率变量</t>
  </si>
  <si>
    <t>反映农业灌溉用水效率及节水技术水平</t>
  </si>
  <si>
    <t>万元工业增加值用水量</t>
  </si>
  <si>
    <t>X9X_9X9​</t>
  </si>
  <si>
    <t>表征工业用水强度，体现工业节水与技术进步水平</t>
  </si>
  <si>
    <r>
      <t>X</t>
    </r>
    <r>
      <rPr>
        <vertAlign val="subscript"/>
        <sz val="14"/>
        <color rgb="FF000000"/>
        <rFont val="Times New Roman"/>
        <family val="1"/>
      </rPr>
      <t>1</t>
    </r>
  </si>
  <si>
    <r>
      <t>X</t>
    </r>
    <r>
      <rPr>
        <vertAlign val="subscript"/>
        <sz val="14"/>
        <color rgb="FF000000"/>
        <rFont val="Times New Roman"/>
        <family val="1"/>
      </rPr>
      <t>2</t>
    </r>
  </si>
  <si>
    <r>
      <t>X</t>
    </r>
    <r>
      <rPr>
        <vertAlign val="subscript"/>
        <sz val="14"/>
        <color rgb="FF000000"/>
        <rFont val="Times New Roman"/>
        <family val="1"/>
      </rPr>
      <t>3</t>
    </r>
    <r>
      <rPr>
        <sz val="11"/>
        <color theme="1"/>
        <rFont val="等线"/>
        <family val="2"/>
        <scheme val="minor"/>
      </rPr>
      <t/>
    </r>
  </si>
  <si>
    <t>地区生产总值</t>
    <phoneticPr fontId="1" type="noConversion"/>
  </si>
  <si>
    <t>常住总人口</t>
  </si>
  <si>
    <r>
      <rPr>
        <sz val="14"/>
        <color theme="1"/>
        <rFont val="宋体"/>
        <family val="1"/>
        <charset val="134"/>
      </rPr>
      <t>需水量</t>
    </r>
    <phoneticPr fontId="1" type="noConversion"/>
  </si>
  <si>
    <t>年份</t>
    <phoneticPr fontId="1" type="noConversion"/>
  </si>
  <si>
    <r>
      <t>X</t>
    </r>
    <r>
      <rPr>
        <vertAlign val="subscript"/>
        <sz val="14"/>
        <rFont val="Times New Roman"/>
        <family val="1"/>
      </rPr>
      <t>1</t>
    </r>
  </si>
  <si>
    <r>
      <rPr>
        <sz val="14"/>
        <rFont val="宋体"/>
        <family val="1"/>
        <charset val="134"/>
      </rPr>
      <t>需水量</t>
    </r>
    <phoneticPr fontId="1" type="noConversion"/>
  </si>
  <si>
    <r>
      <t>X</t>
    </r>
    <r>
      <rPr>
        <vertAlign val="subscript"/>
        <sz val="14"/>
        <rFont val="Times New Roman"/>
        <family val="1"/>
      </rPr>
      <t>2</t>
    </r>
    <r>
      <rPr>
        <sz val="11"/>
        <color theme="1"/>
        <rFont val="等线"/>
        <family val="2"/>
        <scheme val="minor"/>
      </rPr>
      <t/>
    </r>
  </si>
  <si>
    <r>
      <t>X</t>
    </r>
    <r>
      <rPr>
        <vertAlign val="subscript"/>
        <sz val="14"/>
        <rFont val="Times New Roman"/>
        <family val="1"/>
      </rPr>
      <t>3</t>
    </r>
    <r>
      <rPr>
        <sz val="11"/>
        <color theme="1"/>
        <rFont val="等线"/>
        <family val="2"/>
        <scheme val="minor"/>
      </rPr>
      <t/>
    </r>
  </si>
  <si>
    <t>变化值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</si>
</sst>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4"/>
      <color rgb="FF000000"/>
      <name val="Times New Roman"/>
      <family val="1"/>
    </font>
    <font>
      <sz val="14"/>
      <color theme="1"/>
      <name val="Times New Roman"/>
      <family val="1"/>
    </font>
    <font>
      <sz val="14"/>
      <name val="Times New Roman"/>
      <family val="1"/>
    </font>
    <font>
      <vertAlign val="subscript"/>
      <sz val="14"/>
      <color rgb="FF000000"/>
      <name val="Times New Roman"/>
      <family val="1"/>
    </font>
    <font>
      <sz val="14"/>
      <color theme="1"/>
      <name val="宋体"/>
      <family val="1"/>
      <charset val="134"/>
    </font>
    <font>
      <vertAlign val="subscript"/>
      <sz val="14"/>
      <name val="Times New Roman"/>
      <family val="1"/>
    </font>
    <font>
      <sz val="14"/>
      <name val="宋体"/>
      <family val="1"/>
      <charset val="134"/>
    </font>
    <font>
      <b/>
      <sz val="14"/>
      <color theme="1"/>
      <name val="等线"/>
      <family val="3"/>
      <charset val="134"/>
      <scheme val="minor"/>
    </font>
    <font>
      <sz val="14"/>
      <color theme="1"/>
      <name val="等线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1" fontId="2" fillId="0" borderId="1" xfId="0" applyNumberFormat="1" applyFont="1" applyBorder="1" applyAlignment="1">
      <alignment horizontal="center" wrapText="1"/>
    </xf>
    <xf numFmtId="1" fontId="3" fillId="0" borderId="1" xfId="0" applyNumberFormat="1" applyFont="1" applyBorder="1" applyAlignment="1">
      <alignment horizontal="center" vertical="center" wrapText="1"/>
    </xf>
    <xf numFmtId="1" fontId="4" fillId="0" borderId="1" xfId="0" applyNumberFormat="1" applyFont="1" applyBorder="1" applyAlignment="1">
      <alignment horizontal="center" wrapText="1"/>
    </xf>
    <xf numFmtId="0" fontId="2" fillId="0" borderId="1" xfId="0" applyFont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2" fontId="4" fillId="2" borderId="1" xfId="0" applyNumberFormat="1" applyFont="1" applyFill="1" applyBorder="1" applyAlignment="1">
      <alignment horizontal="center" vertical="center"/>
    </xf>
    <xf numFmtId="2" fontId="3" fillId="2" borderId="1" xfId="0" applyNumberFormat="1" applyFont="1" applyFill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10" fillId="0" borderId="0" xfId="0" applyFont="1" applyAlignment="1">
      <alignment vertical="center" wrapText="1"/>
    </xf>
    <xf numFmtId="1" fontId="3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2" fontId="4" fillId="0" borderId="1" xfId="0" applyNumberFormat="1" applyFont="1" applyBorder="1" applyAlignment="1">
      <alignment horizontal="center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35"/>
  <sheetViews>
    <sheetView tabSelected="1" zoomScale="55" zoomScaleNormal="55" workbookViewId="0">
      <selection activeCell="G9" sqref="G9"/>
    </sheetView>
  </sheetViews>
  <sheetFormatPr defaultColWidth="13.125" defaultRowHeight="18.75" x14ac:dyDescent="0.2"/>
  <cols>
    <col min="1" max="3" width="31.5" style="13" customWidth="1"/>
    <col min="4" max="4" width="22" style="13" customWidth="1"/>
    <col min="5" max="16384" width="13.125" style="13"/>
  </cols>
  <sheetData>
    <row r="1" spans="1:5" ht="20.25" x14ac:dyDescent="0.2">
      <c r="A1" s="9" t="s">
        <v>54</v>
      </c>
      <c r="B1" s="9" t="s">
        <v>56</v>
      </c>
      <c r="C1" s="9" t="s">
        <v>57</v>
      </c>
      <c r="D1" s="5" t="s">
        <v>55</v>
      </c>
      <c r="E1" s="12" t="s">
        <v>53</v>
      </c>
    </row>
    <row r="2" spans="1:5" x14ac:dyDescent="0.3">
      <c r="A2" s="21">
        <v>3.1785693455408199</v>
      </c>
      <c r="B2" s="21">
        <v>-0.82672249519630103</v>
      </c>
      <c r="C2" s="21">
        <v>-1.2322317350258301</v>
      </c>
      <c r="D2" s="10">
        <f t="shared" ref="D2:D20" si="0">D35</f>
        <v>186.19565625039039</v>
      </c>
      <c r="E2" s="14">
        <v>2005</v>
      </c>
    </row>
    <row r="3" spans="1:5" x14ac:dyDescent="0.3">
      <c r="A3" s="21">
        <v>2.5330404702661702</v>
      </c>
      <c r="B3" s="21">
        <v>-1.3792053513784901</v>
      </c>
      <c r="C3" s="21">
        <v>-0.66296449305252103</v>
      </c>
      <c r="D3" s="10">
        <f t="shared" si="0"/>
        <v>195.76160587880179</v>
      </c>
      <c r="E3" s="14">
        <v>2006</v>
      </c>
    </row>
    <row r="4" spans="1:5" x14ac:dyDescent="0.3">
      <c r="A4" s="21">
        <v>3.05818481320668</v>
      </c>
      <c r="B4" s="21">
        <v>-0.46892891786151403</v>
      </c>
      <c r="C4" s="21">
        <v>0.329741017105743</v>
      </c>
      <c r="D4" s="10">
        <f t="shared" si="0"/>
        <v>200.02508155588404</v>
      </c>
      <c r="E4" s="14">
        <v>2007</v>
      </c>
    </row>
    <row r="5" spans="1:5" x14ac:dyDescent="0.3">
      <c r="A5" s="21">
        <v>2.7263304868360301</v>
      </c>
      <c r="B5" s="21">
        <v>0.18339598471143101</v>
      </c>
      <c r="C5" s="21">
        <v>0.74527003079988596</v>
      </c>
      <c r="D5" s="10">
        <f t="shared" si="0"/>
        <v>200.02508155588404</v>
      </c>
      <c r="E5" s="14">
        <v>2008</v>
      </c>
    </row>
    <row r="6" spans="1:5" x14ac:dyDescent="0.3">
      <c r="A6" s="21">
        <v>1.89538953198398</v>
      </c>
      <c r="B6" s="21">
        <v>0.54728324880726498</v>
      </c>
      <c r="C6" s="21">
        <v>0.62136922219584301</v>
      </c>
      <c r="D6" s="10">
        <f t="shared" si="0"/>
        <v>196.7647766263506</v>
      </c>
      <c r="E6" s="14">
        <v>2009</v>
      </c>
    </row>
    <row r="7" spans="1:5" x14ac:dyDescent="0.3">
      <c r="A7" s="21">
        <v>1.28909955164176</v>
      </c>
      <c r="B7" s="21">
        <v>0.63472133197004599</v>
      </c>
      <c r="C7" s="21">
        <v>0.47293871761191902</v>
      </c>
      <c r="D7" s="10">
        <f t="shared" si="0"/>
        <v>191.3</v>
      </c>
      <c r="E7" s="14">
        <v>2010</v>
      </c>
    </row>
    <row r="8" spans="1:5" x14ac:dyDescent="0.3">
      <c r="A8" s="21">
        <v>0.81155139557099099</v>
      </c>
      <c r="B8" s="21">
        <v>-0.23574069762130001</v>
      </c>
      <c r="C8" s="21">
        <v>0.38127236367179002</v>
      </c>
      <c r="D8" s="10">
        <f t="shared" si="0"/>
        <v>192.4</v>
      </c>
      <c r="E8" s="14">
        <v>2011</v>
      </c>
    </row>
    <row r="9" spans="1:5" x14ac:dyDescent="0.3">
      <c r="A9" s="21">
        <v>0.196818283092066</v>
      </c>
      <c r="B9" s="21">
        <v>0.30906318716001102</v>
      </c>
      <c r="C9" s="21">
        <v>0.43378510401286402</v>
      </c>
      <c r="D9" s="10">
        <f t="shared" si="0"/>
        <v>189.5</v>
      </c>
      <c r="E9" s="14">
        <v>2012</v>
      </c>
    </row>
    <row r="10" spans="1:5" x14ac:dyDescent="0.3">
      <c r="A10" s="21">
        <v>-1.1204708774205101</v>
      </c>
      <c r="B10" s="21">
        <v>0.36857237096522399</v>
      </c>
      <c r="C10" s="21">
        <v>1.14031289849326</v>
      </c>
      <c r="D10" s="10">
        <f t="shared" si="0"/>
        <v>187.6</v>
      </c>
      <c r="E10" s="14">
        <v>2013</v>
      </c>
    </row>
    <row r="11" spans="1:5" x14ac:dyDescent="0.3">
      <c r="A11" s="21">
        <v>-1.0092038970372601</v>
      </c>
      <c r="B11" s="21">
        <v>2.68497067746317E-2</v>
      </c>
      <c r="C11" s="21">
        <v>0.841677155191771</v>
      </c>
      <c r="D11" s="10">
        <f t="shared" si="0"/>
        <v>190.9</v>
      </c>
      <c r="E11" s="14">
        <v>2014</v>
      </c>
    </row>
    <row r="12" spans="1:5" x14ac:dyDescent="0.3">
      <c r="A12" s="21">
        <v>-1.1426810863599499</v>
      </c>
      <c r="B12" s="21">
        <v>0.78448572783173198</v>
      </c>
      <c r="C12" s="21">
        <v>0.75763530990190797</v>
      </c>
      <c r="D12" s="10">
        <f t="shared" si="0"/>
        <v>184.6</v>
      </c>
      <c r="E12" s="14">
        <v>2015</v>
      </c>
    </row>
    <row r="13" spans="1:5" x14ac:dyDescent="0.3">
      <c r="A13" s="21">
        <v>-1.75463260263677</v>
      </c>
      <c r="B13" s="21">
        <v>-0.101581655040516</v>
      </c>
      <c r="C13" s="21">
        <v>0.86469957654417695</v>
      </c>
      <c r="D13" s="10">
        <f t="shared" si="0"/>
        <v>187.9</v>
      </c>
      <c r="E13" s="14">
        <v>2016</v>
      </c>
    </row>
    <row r="14" spans="1:5" x14ac:dyDescent="0.3">
      <c r="A14" s="21">
        <v>-1.19351236333113</v>
      </c>
      <c r="B14" s="21">
        <v>0.41081319182778198</v>
      </c>
      <c r="C14" s="21">
        <v>0.46927450902921702</v>
      </c>
      <c r="D14" s="10">
        <f t="shared" si="0"/>
        <v>191.2</v>
      </c>
      <c r="E14" s="14">
        <v>2017</v>
      </c>
    </row>
    <row r="15" spans="1:5" x14ac:dyDescent="0.3">
      <c r="A15" s="21">
        <v>-0.53497960662563504</v>
      </c>
      <c r="B15" s="21">
        <v>2.1621002585764</v>
      </c>
      <c r="C15" s="21">
        <v>-0.65134069404967898</v>
      </c>
      <c r="D15" s="10">
        <f t="shared" si="0"/>
        <v>164.87827786497911</v>
      </c>
      <c r="E15" s="14">
        <v>2018</v>
      </c>
    </row>
    <row r="16" spans="1:5" x14ac:dyDescent="0.3">
      <c r="A16" s="21">
        <v>-1.25770622758326</v>
      </c>
      <c r="B16" s="21">
        <v>-2.1769656518381</v>
      </c>
      <c r="C16" s="21">
        <v>-0.81949069275379305</v>
      </c>
      <c r="D16" s="10">
        <f t="shared" si="0"/>
        <v>176.77301672877161</v>
      </c>
      <c r="E16" s="14">
        <v>2019</v>
      </c>
    </row>
    <row r="17" spans="1:5" x14ac:dyDescent="0.3">
      <c r="A17" s="21">
        <v>-0.40784602607530501</v>
      </c>
      <c r="B17" s="21">
        <v>-7.8422499406643406E-2</v>
      </c>
      <c r="C17" s="21">
        <v>-1.6589898789755999</v>
      </c>
      <c r="D17" s="10">
        <f t="shared" si="0"/>
        <v>166.9</v>
      </c>
      <c r="E17" s="14">
        <v>2020</v>
      </c>
    </row>
    <row r="18" spans="1:5" x14ac:dyDescent="0.3">
      <c r="A18" s="21">
        <v>-2.8927297696677501</v>
      </c>
      <c r="B18" s="21">
        <v>-0.30609696569894002</v>
      </c>
      <c r="C18" s="21">
        <v>-0.59370441339929203</v>
      </c>
      <c r="D18" s="10">
        <f t="shared" si="0"/>
        <v>164.5</v>
      </c>
      <c r="E18" s="14">
        <v>2021</v>
      </c>
    </row>
    <row r="19" spans="1:5" x14ac:dyDescent="0.3">
      <c r="A19" s="21">
        <v>-3.0933705817072599</v>
      </c>
      <c r="B19" s="21">
        <v>-2.5767627298590199</v>
      </c>
      <c r="C19" s="21">
        <v>9.6234545407181599E-2</v>
      </c>
      <c r="D19" s="10">
        <f t="shared" si="0"/>
        <v>194.3</v>
      </c>
      <c r="E19" s="14">
        <v>2022</v>
      </c>
    </row>
    <row r="20" spans="1:5" x14ac:dyDescent="0.3">
      <c r="A20" s="21">
        <v>-1.2818508396935899</v>
      </c>
      <c r="B20" s="21">
        <v>2.7231419552762701</v>
      </c>
      <c r="C20" s="21">
        <v>-1.53548854270893</v>
      </c>
      <c r="D20" s="10">
        <f t="shared" si="0"/>
        <v>165</v>
      </c>
      <c r="E20" s="14">
        <v>2023</v>
      </c>
    </row>
    <row r="22" spans="1:5" x14ac:dyDescent="0.2">
      <c r="A22" s="15" t="s">
        <v>51</v>
      </c>
      <c r="B22" s="16" t="s">
        <v>50</v>
      </c>
      <c r="C22" s="15" t="s">
        <v>37</v>
      </c>
    </row>
    <row r="23" spans="1:5" x14ac:dyDescent="0.2">
      <c r="A23" s="15"/>
      <c r="B23" s="15"/>
      <c r="C23" s="15"/>
    </row>
    <row r="33" spans="1:6" ht="20.25" x14ac:dyDescent="0.2">
      <c r="A33" s="4" t="s">
        <v>47</v>
      </c>
      <c r="B33" s="4" t="s">
        <v>48</v>
      </c>
      <c r="C33" s="4" t="s">
        <v>49</v>
      </c>
      <c r="D33" s="6" t="s">
        <v>52</v>
      </c>
      <c r="F33" s="6" t="s">
        <v>52</v>
      </c>
    </row>
    <row r="34" spans="1:6" x14ac:dyDescent="0.3">
      <c r="A34" s="1">
        <v>3145.13</v>
      </c>
      <c r="B34" s="7">
        <v>1399.92</v>
      </c>
      <c r="C34" s="2">
        <v>4601.3999999999996</v>
      </c>
      <c r="D34" s="10">
        <f t="shared" ref="D34:D53" si="1">F34</f>
        <v>188.30948032558243</v>
      </c>
      <c r="E34" s="13">
        <v>2004</v>
      </c>
      <c r="F34" s="10">
        <v>188.30948032558243</v>
      </c>
    </row>
    <row r="35" spans="1:6" x14ac:dyDescent="0.3">
      <c r="A35" s="1">
        <v>3111</v>
      </c>
      <c r="B35" s="7">
        <v>3745.19</v>
      </c>
      <c r="C35" s="2">
        <v>4601</v>
      </c>
      <c r="D35" s="10">
        <f t="shared" si="1"/>
        <v>186.19565625039039</v>
      </c>
      <c r="E35" s="13">
        <v>2005</v>
      </c>
      <c r="F35" s="10">
        <v>186.19565625039039</v>
      </c>
    </row>
    <row r="36" spans="1:6" x14ac:dyDescent="0.3">
      <c r="A36" s="1">
        <v>3076.87</v>
      </c>
      <c r="B36" s="7">
        <v>4450</v>
      </c>
      <c r="C36" s="2">
        <v>4459.5</v>
      </c>
      <c r="D36" s="10">
        <f t="shared" si="1"/>
        <v>195.76160587880179</v>
      </c>
      <c r="E36" s="13">
        <v>2006</v>
      </c>
      <c r="F36" s="10">
        <v>195.76160587880179</v>
      </c>
    </row>
    <row r="37" spans="1:6" x14ac:dyDescent="0.3">
      <c r="A37" s="1">
        <v>3042.77</v>
      </c>
      <c r="B37" s="7">
        <v>5287.57</v>
      </c>
      <c r="C37" s="2">
        <v>4460</v>
      </c>
      <c r="D37" s="10">
        <f t="shared" si="1"/>
        <v>200.02508155588404</v>
      </c>
      <c r="E37" s="13">
        <v>2007</v>
      </c>
      <c r="F37" s="10">
        <v>200.02508155588404</v>
      </c>
    </row>
    <row r="38" spans="1:6" x14ac:dyDescent="0.3">
      <c r="A38" s="1">
        <v>3023.97</v>
      </c>
      <c r="B38" s="7">
        <v>6346.29</v>
      </c>
      <c r="C38" s="2">
        <v>4556</v>
      </c>
      <c r="D38" s="10">
        <f t="shared" si="1"/>
        <v>200.02508155588404</v>
      </c>
      <c r="E38" s="13">
        <v>2008</v>
      </c>
      <c r="F38" s="10">
        <v>200.02508155588404</v>
      </c>
    </row>
    <row r="39" spans="1:6" x14ac:dyDescent="0.3">
      <c r="A39" s="1">
        <v>3015.02</v>
      </c>
      <c r="B39" s="7">
        <v>7196.89</v>
      </c>
      <c r="C39" s="2">
        <v>4601.2</v>
      </c>
      <c r="D39" s="10">
        <f t="shared" si="1"/>
        <v>196.7647766263506</v>
      </c>
      <c r="E39" s="13">
        <v>2009</v>
      </c>
      <c r="F39" s="10">
        <v>196.7647766263506</v>
      </c>
    </row>
    <row r="40" spans="1:6" x14ac:dyDescent="0.3">
      <c r="A40" s="1">
        <v>2977</v>
      </c>
      <c r="B40" s="7">
        <v>8920.3700000000008</v>
      </c>
      <c r="C40" s="2">
        <v>4660.6000000000004</v>
      </c>
      <c r="D40" s="10">
        <f t="shared" si="1"/>
        <v>191.3</v>
      </c>
      <c r="E40" s="13">
        <v>2010</v>
      </c>
      <c r="F40" s="11">
        <v>191.3</v>
      </c>
    </row>
    <row r="41" spans="1:6" x14ac:dyDescent="0.3">
      <c r="A41" s="1">
        <v>2956.6</v>
      </c>
      <c r="B41" s="7">
        <v>10744.32</v>
      </c>
      <c r="C41" s="2">
        <v>4696.7</v>
      </c>
      <c r="D41" s="10">
        <f t="shared" si="1"/>
        <v>192.4</v>
      </c>
      <c r="E41" s="13">
        <v>2011</v>
      </c>
      <c r="F41" s="11">
        <v>192.4</v>
      </c>
    </row>
    <row r="42" spans="1:6" x14ac:dyDescent="0.3">
      <c r="A42" s="1">
        <v>2943.7300000000005</v>
      </c>
      <c r="B42" s="7">
        <v>12182.94</v>
      </c>
      <c r="C42" s="2">
        <v>4706.1000000000004</v>
      </c>
      <c r="D42" s="10">
        <f t="shared" si="1"/>
        <v>189.5</v>
      </c>
      <c r="E42" s="13">
        <v>2012</v>
      </c>
      <c r="F42" s="11">
        <v>189.5</v>
      </c>
    </row>
    <row r="43" spans="1:6" x14ac:dyDescent="0.3">
      <c r="A43" s="1">
        <v>2940.49</v>
      </c>
      <c r="B43" s="7">
        <v>13558.880000000001</v>
      </c>
      <c r="C43" s="2">
        <v>4720.59</v>
      </c>
      <c r="D43" s="10">
        <f t="shared" si="1"/>
        <v>187.6</v>
      </c>
      <c r="E43" s="13">
        <v>2013</v>
      </c>
      <c r="F43" s="11">
        <v>187.6</v>
      </c>
    </row>
    <row r="44" spans="1:6" x14ac:dyDescent="0.3">
      <c r="A44" s="1">
        <v>2952.06</v>
      </c>
      <c r="B44" s="7">
        <v>15151.490000000002</v>
      </c>
      <c r="C44" s="2">
        <v>4710.49</v>
      </c>
      <c r="D44" s="10">
        <f t="shared" si="1"/>
        <v>190.9</v>
      </c>
      <c r="E44" s="13">
        <v>2014</v>
      </c>
      <c r="F44" s="11">
        <v>190.9</v>
      </c>
    </row>
    <row r="45" spans="1:6" x14ac:dyDescent="0.3">
      <c r="A45" s="1">
        <v>2957.9</v>
      </c>
      <c r="B45" s="7">
        <v>16564.3</v>
      </c>
      <c r="C45" s="2">
        <v>4728.88</v>
      </c>
      <c r="D45" s="10">
        <f t="shared" si="1"/>
        <v>184.6</v>
      </c>
      <c r="E45" s="13">
        <v>2015</v>
      </c>
      <c r="F45" s="11">
        <v>184.6</v>
      </c>
    </row>
    <row r="46" spans="1:6" x14ac:dyDescent="0.3">
      <c r="A46" s="1">
        <v>2970.15</v>
      </c>
      <c r="B46" s="7">
        <v>18160.2</v>
      </c>
      <c r="C46" s="2">
        <v>4701.5099999999993</v>
      </c>
      <c r="D46" s="10">
        <f t="shared" si="1"/>
        <v>187.9</v>
      </c>
      <c r="E46" s="13">
        <v>2016</v>
      </c>
      <c r="F46" s="11">
        <v>187.9</v>
      </c>
    </row>
    <row r="47" spans="1:6" x14ac:dyDescent="0.3">
      <c r="A47" s="1">
        <v>2987.39</v>
      </c>
      <c r="B47" s="7">
        <v>20268.769999999997</v>
      </c>
      <c r="C47" s="2">
        <v>4663.7299999999996</v>
      </c>
      <c r="D47" s="10">
        <f t="shared" si="1"/>
        <v>191.2</v>
      </c>
      <c r="E47" s="13">
        <v>2017</v>
      </c>
      <c r="F47" s="11">
        <v>191.2</v>
      </c>
    </row>
    <row r="48" spans="1:6" x14ac:dyDescent="0.3">
      <c r="A48" s="1">
        <v>2992.03</v>
      </c>
      <c r="B48" s="7">
        <v>21365.980000000003</v>
      </c>
      <c r="C48" s="2">
        <v>4713.7700000000004</v>
      </c>
      <c r="D48" s="10">
        <f t="shared" si="1"/>
        <v>164.87827786497911</v>
      </c>
      <c r="E48" s="13">
        <v>2018</v>
      </c>
      <c r="F48" s="11">
        <v>164.87827786497911</v>
      </c>
    </row>
    <row r="49" spans="1:6" x14ac:dyDescent="0.3">
      <c r="A49" s="1">
        <v>2997.58</v>
      </c>
      <c r="B49" s="7">
        <v>22963.34</v>
      </c>
      <c r="C49" s="2">
        <v>4717.45</v>
      </c>
      <c r="D49" s="10">
        <f t="shared" si="1"/>
        <v>176.77301672877161</v>
      </c>
      <c r="E49" s="13">
        <v>2019</v>
      </c>
      <c r="F49" s="11">
        <v>176.77301672877161</v>
      </c>
    </row>
    <row r="50" spans="1:6" x14ac:dyDescent="0.3">
      <c r="A50" s="3">
        <v>2994.2900000000004</v>
      </c>
      <c r="B50" s="7">
        <v>23837.96</v>
      </c>
      <c r="C50" s="2">
        <v>4758.7700000000004</v>
      </c>
      <c r="D50" s="10">
        <f t="shared" si="1"/>
        <v>166.9</v>
      </c>
      <c r="E50" s="13">
        <v>2020</v>
      </c>
      <c r="F50" s="11">
        <v>166.9</v>
      </c>
    </row>
    <row r="51" spans="1:6" x14ac:dyDescent="0.3">
      <c r="A51" s="3">
        <v>2990.47</v>
      </c>
      <c r="B51" s="7">
        <v>26731.89</v>
      </c>
      <c r="C51" s="2">
        <v>4768</v>
      </c>
      <c r="D51" s="10">
        <f t="shared" si="1"/>
        <v>164.5</v>
      </c>
      <c r="E51" s="13">
        <v>2021</v>
      </c>
      <c r="F51" s="11">
        <v>164.5</v>
      </c>
    </row>
    <row r="52" spans="1:6" x14ac:dyDescent="0.3">
      <c r="A52" s="3">
        <v>2983.71</v>
      </c>
      <c r="B52" s="8">
        <v>28397.05</v>
      </c>
      <c r="C52" s="2">
        <v>4783.75</v>
      </c>
      <c r="D52" s="10">
        <f t="shared" si="1"/>
        <v>194.3</v>
      </c>
      <c r="E52" s="13">
        <v>2022</v>
      </c>
      <c r="F52" s="11">
        <v>194.3</v>
      </c>
    </row>
    <row r="53" spans="1:6" x14ac:dyDescent="0.3">
      <c r="A53" s="3">
        <v>2981.85</v>
      </c>
      <c r="B53" s="8">
        <v>30081.05</v>
      </c>
      <c r="C53" s="2">
        <v>4799.0600000000004</v>
      </c>
      <c r="D53" s="10">
        <f t="shared" si="1"/>
        <v>165</v>
      </c>
      <c r="E53" s="13">
        <v>2023</v>
      </c>
      <c r="F53" s="11">
        <v>165</v>
      </c>
    </row>
    <row r="57" spans="1:6" ht="45" customHeight="1" x14ac:dyDescent="0.2">
      <c r="A57" s="20" t="s">
        <v>58</v>
      </c>
      <c r="B57" s="20"/>
      <c r="C57" s="20"/>
    </row>
    <row r="58" spans="1:6" x14ac:dyDescent="0.2">
      <c r="A58" s="15" t="s">
        <v>51</v>
      </c>
      <c r="B58" s="16" t="s">
        <v>50</v>
      </c>
      <c r="C58" s="15" t="s">
        <v>37</v>
      </c>
    </row>
    <row r="59" spans="1:6" x14ac:dyDescent="0.2">
      <c r="A59" s="19">
        <f>A35-A34</f>
        <v>-34.130000000000109</v>
      </c>
      <c r="B59" s="19">
        <f t="shared" ref="B59:C59" si="2">B35-B34</f>
        <v>2345.27</v>
      </c>
      <c r="C59" s="19">
        <f t="shared" si="2"/>
        <v>-0.3999999999996362</v>
      </c>
    </row>
    <row r="60" spans="1:6" x14ac:dyDescent="0.2">
      <c r="A60" s="19">
        <f t="shared" ref="A60:C77" si="3">A36-A35</f>
        <v>-34.130000000000109</v>
      </c>
      <c r="B60" s="19">
        <f t="shared" si="3"/>
        <v>704.81</v>
      </c>
      <c r="C60" s="19">
        <f t="shared" si="3"/>
        <v>-141.5</v>
      </c>
    </row>
    <row r="61" spans="1:6" x14ac:dyDescent="0.2">
      <c r="A61" s="19">
        <f t="shared" si="3"/>
        <v>-34.099999999999909</v>
      </c>
      <c r="B61" s="19">
        <f t="shared" si="3"/>
        <v>837.56999999999971</v>
      </c>
      <c r="C61" s="19">
        <f t="shared" si="3"/>
        <v>0.5</v>
      </c>
    </row>
    <row r="62" spans="1:6" x14ac:dyDescent="0.2">
      <c r="A62" s="19">
        <f t="shared" si="3"/>
        <v>-18.800000000000182</v>
      </c>
      <c r="B62" s="19">
        <f t="shared" si="3"/>
        <v>1058.7200000000003</v>
      </c>
      <c r="C62" s="19">
        <f t="shared" si="3"/>
        <v>96</v>
      </c>
    </row>
    <row r="63" spans="1:6" x14ac:dyDescent="0.2">
      <c r="A63" s="19">
        <f t="shared" si="3"/>
        <v>-8.9499999999998181</v>
      </c>
      <c r="B63" s="19">
        <f t="shared" si="3"/>
        <v>850.60000000000036</v>
      </c>
      <c r="C63" s="19">
        <f t="shared" si="3"/>
        <v>45.199999999999818</v>
      </c>
    </row>
    <row r="64" spans="1:6" x14ac:dyDescent="0.2">
      <c r="A64" s="19">
        <f t="shared" si="3"/>
        <v>-38.019999999999982</v>
      </c>
      <c r="B64" s="19">
        <f t="shared" si="3"/>
        <v>1723.4800000000005</v>
      </c>
      <c r="C64" s="19">
        <f t="shared" si="3"/>
        <v>59.400000000000546</v>
      </c>
    </row>
    <row r="65" spans="1:3" x14ac:dyDescent="0.2">
      <c r="A65" s="19">
        <f t="shared" si="3"/>
        <v>-20.400000000000091</v>
      </c>
      <c r="B65" s="19">
        <f t="shared" si="3"/>
        <v>1823.9499999999989</v>
      </c>
      <c r="C65" s="19">
        <f t="shared" si="3"/>
        <v>36.099999999999454</v>
      </c>
    </row>
    <row r="66" spans="1:3" x14ac:dyDescent="0.2">
      <c r="A66" s="19">
        <f t="shared" si="3"/>
        <v>-12.869999999999436</v>
      </c>
      <c r="B66" s="19">
        <f t="shared" si="3"/>
        <v>1438.6200000000008</v>
      </c>
      <c r="C66" s="19">
        <f t="shared" si="3"/>
        <v>9.4000000000005457</v>
      </c>
    </row>
    <row r="67" spans="1:3" x14ac:dyDescent="0.2">
      <c r="A67" s="19">
        <f t="shared" si="3"/>
        <v>-3.2400000000006912</v>
      </c>
      <c r="B67" s="19">
        <f t="shared" si="3"/>
        <v>1375.9400000000005</v>
      </c>
      <c r="C67" s="19">
        <f t="shared" si="3"/>
        <v>14.489999999999782</v>
      </c>
    </row>
    <row r="68" spans="1:3" x14ac:dyDescent="0.2">
      <c r="A68" s="19">
        <f t="shared" si="3"/>
        <v>11.570000000000164</v>
      </c>
      <c r="B68" s="19">
        <f t="shared" si="3"/>
        <v>1592.6100000000006</v>
      </c>
      <c r="C68" s="19">
        <f t="shared" si="3"/>
        <v>-10.100000000000364</v>
      </c>
    </row>
    <row r="69" spans="1:3" x14ac:dyDescent="0.2">
      <c r="A69" s="19">
        <f t="shared" si="3"/>
        <v>5.8400000000001455</v>
      </c>
      <c r="B69" s="19">
        <f t="shared" si="3"/>
        <v>1412.8099999999977</v>
      </c>
      <c r="C69" s="19">
        <f t="shared" si="3"/>
        <v>18.390000000000327</v>
      </c>
    </row>
    <row r="70" spans="1:3" x14ac:dyDescent="0.2">
      <c r="A70" s="19">
        <f t="shared" si="3"/>
        <v>12.25</v>
      </c>
      <c r="B70" s="19">
        <f t="shared" si="3"/>
        <v>1595.9000000000015</v>
      </c>
      <c r="C70" s="19">
        <f t="shared" si="3"/>
        <v>-27.3700000000008</v>
      </c>
    </row>
    <row r="71" spans="1:3" x14ac:dyDescent="0.2">
      <c r="A71" s="19">
        <f t="shared" si="3"/>
        <v>17.239999999999782</v>
      </c>
      <c r="B71" s="19">
        <f t="shared" si="3"/>
        <v>2108.5699999999961</v>
      </c>
      <c r="C71" s="19">
        <f t="shared" si="3"/>
        <v>-37.779999999999745</v>
      </c>
    </row>
    <row r="72" spans="1:3" x14ac:dyDescent="0.2">
      <c r="A72" s="19">
        <f t="shared" si="3"/>
        <v>4.6400000000003274</v>
      </c>
      <c r="B72" s="19">
        <f t="shared" si="3"/>
        <v>1097.2100000000064</v>
      </c>
      <c r="C72" s="19">
        <f t="shared" si="3"/>
        <v>50.040000000000873</v>
      </c>
    </row>
    <row r="73" spans="1:3" x14ac:dyDescent="0.2">
      <c r="A73" s="19">
        <f t="shared" si="3"/>
        <v>5.5499999999997272</v>
      </c>
      <c r="B73" s="19">
        <f t="shared" si="3"/>
        <v>1597.3599999999969</v>
      </c>
      <c r="C73" s="19">
        <f t="shared" si="3"/>
        <v>3.6799999999993815</v>
      </c>
    </row>
    <row r="74" spans="1:3" x14ac:dyDescent="0.2">
      <c r="A74" s="19">
        <f t="shared" si="3"/>
        <v>-3.2899999999995089</v>
      </c>
      <c r="B74" s="19">
        <f t="shared" si="3"/>
        <v>874.61999999999898</v>
      </c>
      <c r="C74" s="19">
        <f t="shared" si="3"/>
        <v>41.320000000000618</v>
      </c>
    </row>
    <row r="75" spans="1:3" x14ac:dyDescent="0.2">
      <c r="A75" s="19">
        <f t="shared" si="3"/>
        <v>-3.8200000000006185</v>
      </c>
      <c r="B75" s="19">
        <f t="shared" si="3"/>
        <v>2893.9300000000003</v>
      </c>
      <c r="C75" s="19">
        <f t="shared" si="3"/>
        <v>9.2299999999995634</v>
      </c>
    </row>
    <row r="76" spans="1:3" x14ac:dyDescent="0.2">
      <c r="A76" s="19">
        <f t="shared" si="3"/>
        <v>-6.7599999999997635</v>
      </c>
      <c r="B76" s="19">
        <f t="shared" si="3"/>
        <v>1665.1599999999999</v>
      </c>
      <c r="C76" s="19">
        <f t="shared" si="3"/>
        <v>15.75</v>
      </c>
    </row>
    <row r="77" spans="1:3" x14ac:dyDescent="0.2">
      <c r="A77" s="19">
        <f t="shared" si="3"/>
        <v>-1.8600000000001273</v>
      </c>
      <c r="B77" s="19">
        <f t="shared" si="3"/>
        <v>1684</v>
      </c>
      <c r="C77" s="19">
        <f t="shared" si="3"/>
        <v>15.3100000000004</v>
      </c>
    </row>
    <row r="78" spans="1:3" x14ac:dyDescent="0.2">
      <c r="A78" s="19"/>
    </row>
    <row r="79" spans="1:3" x14ac:dyDescent="0.2">
      <c r="A79" s="19"/>
    </row>
    <row r="80" spans="1:3" x14ac:dyDescent="0.2">
      <c r="A80" s="19"/>
    </row>
    <row r="81" spans="1:1" x14ac:dyDescent="0.2">
      <c r="A81" s="19"/>
    </row>
    <row r="82" spans="1:1" x14ac:dyDescent="0.2">
      <c r="A82" s="19"/>
    </row>
    <row r="83" spans="1:1" x14ac:dyDescent="0.2">
      <c r="A83" s="19"/>
    </row>
    <row r="114" spans="1:5" x14ac:dyDescent="0.2">
      <c r="A114" s="17" t="s">
        <v>4</v>
      </c>
      <c r="B114" s="18">
        <v>1</v>
      </c>
      <c r="C114" s="18">
        <v>2</v>
      </c>
      <c r="D114" s="18">
        <v>5</v>
      </c>
      <c r="E114" s="18">
        <v>9</v>
      </c>
    </row>
    <row r="115" spans="1:5" ht="36" x14ac:dyDescent="0.2">
      <c r="A115" s="17" t="s">
        <v>5</v>
      </c>
      <c r="B115" s="18" t="s">
        <v>0</v>
      </c>
      <c r="C115" s="18" t="s">
        <v>17</v>
      </c>
      <c r="D115" s="18" t="s">
        <v>27</v>
      </c>
      <c r="E115" s="18" t="s">
        <v>44</v>
      </c>
    </row>
    <row r="116" spans="1:5" x14ac:dyDescent="0.2">
      <c r="A116" s="17" t="s">
        <v>6</v>
      </c>
      <c r="B116" s="18" t="s">
        <v>12</v>
      </c>
      <c r="C116" s="18" t="s">
        <v>18</v>
      </c>
      <c r="D116" s="18" t="s">
        <v>28</v>
      </c>
      <c r="E116" s="18" t="s">
        <v>45</v>
      </c>
    </row>
    <row r="117" spans="1:5" x14ac:dyDescent="0.2">
      <c r="A117" s="17" t="s">
        <v>7</v>
      </c>
      <c r="B117" s="18" t="s">
        <v>1</v>
      </c>
      <c r="C117" s="18" t="s">
        <v>2</v>
      </c>
      <c r="D117" s="18" t="s">
        <v>29</v>
      </c>
      <c r="E117" s="18" t="s">
        <v>3</v>
      </c>
    </row>
    <row r="118" spans="1:5" x14ac:dyDescent="0.2">
      <c r="A118" s="17" t="s">
        <v>8</v>
      </c>
      <c r="B118" s="18" t="s">
        <v>13</v>
      </c>
      <c r="C118" s="18" t="s">
        <v>19</v>
      </c>
      <c r="D118" s="18" t="s">
        <v>30</v>
      </c>
      <c r="E118" s="18" t="s">
        <v>42</v>
      </c>
    </row>
    <row r="119" spans="1:5" ht="90" x14ac:dyDescent="0.2">
      <c r="A119" s="17" t="s">
        <v>9</v>
      </c>
      <c r="B119" s="18" t="s">
        <v>14</v>
      </c>
      <c r="C119" s="18" t="s">
        <v>20</v>
      </c>
      <c r="D119" s="18" t="s">
        <v>31</v>
      </c>
      <c r="E119" s="18" t="s">
        <v>46</v>
      </c>
    </row>
    <row r="120" spans="1:5" x14ac:dyDescent="0.2">
      <c r="A120" s="17" t="s">
        <v>10</v>
      </c>
      <c r="B120" s="18" t="s">
        <v>15</v>
      </c>
      <c r="C120" s="18" t="s">
        <v>15</v>
      </c>
      <c r="D120" s="18" t="s">
        <v>32</v>
      </c>
      <c r="E120" s="18" t="s">
        <v>32</v>
      </c>
    </row>
    <row r="121" spans="1:5" ht="36" x14ac:dyDescent="0.2">
      <c r="A121" s="17" t="s">
        <v>11</v>
      </c>
      <c r="B121" s="18" t="s">
        <v>16</v>
      </c>
      <c r="C121" s="18" t="s">
        <v>16</v>
      </c>
      <c r="D121" s="18" t="s">
        <v>33</v>
      </c>
      <c r="E121" s="18" t="s">
        <v>33</v>
      </c>
    </row>
    <row r="122" spans="1:5" x14ac:dyDescent="0.2">
      <c r="A122" s="18"/>
      <c r="B122" s="18"/>
      <c r="C122" s="18"/>
    </row>
    <row r="123" spans="1:5" x14ac:dyDescent="0.2">
      <c r="A123" s="18"/>
      <c r="B123" s="18"/>
      <c r="C123" s="18"/>
    </row>
    <row r="124" spans="1:5" x14ac:dyDescent="0.2">
      <c r="A124" s="17"/>
      <c r="B124" s="17"/>
      <c r="C124" s="17"/>
      <c r="D124" s="17"/>
    </row>
    <row r="125" spans="1:5" x14ac:dyDescent="0.2">
      <c r="A125" s="18"/>
      <c r="B125" s="18"/>
      <c r="C125" s="18"/>
      <c r="D125" s="18"/>
    </row>
    <row r="126" spans="1:5" x14ac:dyDescent="0.2">
      <c r="A126" s="17" t="s">
        <v>4</v>
      </c>
      <c r="B126" s="17" t="s">
        <v>5</v>
      </c>
      <c r="C126" s="17" t="s">
        <v>6</v>
      </c>
      <c r="D126" s="17" t="s">
        <v>9</v>
      </c>
    </row>
    <row r="127" spans="1:5" ht="72" x14ac:dyDescent="0.2">
      <c r="A127" s="18">
        <v>1</v>
      </c>
      <c r="B127" s="18" t="s">
        <v>0</v>
      </c>
      <c r="C127" s="18" t="s">
        <v>12</v>
      </c>
      <c r="D127" s="18" t="s">
        <v>14</v>
      </c>
    </row>
    <row r="128" spans="1:5" ht="72" x14ac:dyDescent="0.2">
      <c r="A128" s="18">
        <v>2</v>
      </c>
      <c r="B128" s="18" t="s">
        <v>17</v>
      </c>
      <c r="C128" s="18" t="s">
        <v>18</v>
      </c>
      <c r="D128" s="18" t="s">
        <v>20</v>
      </c>
    </row>
    <row r="129" spans="1:4" ht="54" x14ac:dyDescent="0.2">
      <c r="A129" s="18">
        <v>3</v>
      </c>
      <c r="B129" s="18" t="s">
        <v>21</v>
      </c>
      <c r="C129" s="18" t="s">
        <v>22</v>
      </c>
      <c r="D129" s="18" t="s">
        <v>23</v>
      </c>
    </row>
    <row r="130" spans="1:4" ht="72" x14ac:dyDescent="0.2">
      <c r="A130" s="18">
        <v>4</v>
      </c>
      <c r="B130" s="18" t="s">
        <v>24</v>
      </c>
      <c r="C130" s="18" t="s">
        <v>25</v>
      </c>
      <c r="D130" s="18" t="s">
        <v>26</v>
      </c>
    </row>
    <row r="131" spans="1:4" ht="54" x14ac:dyDescent="0.2">
      <c r="A131" s="18">
        <v>5</v>
      </c>
      <c r="B131" s="18" t="s">
        <v>27</v>
      </c>
      <c r="C131" s="18" t="s">
        <v>28</v>
      </c>
      <c r="D131" s="18" t="s">
        <v>31</v>
      </c>
    </row>
    <row r="132" spans="1:4" ht="54" x14ac:dyDescent="0.2">
      <c r="A132" s="18">
        <v>6</v>
      </c>
      <c r="B132" s="18" t="s">
        <v>34</v>
      </c>
      <c r="C132" s="18" t="s">
        <v>35</v>
      </c>
      <c r="D132" s="18" t="s">
        <v>36</v>
      </c>
    </row>
    <row r="133" spans="1:4" ht="54" x14ac:dyDescent="0.2">
      <c r="A133" s="18">
        <v>7</v>
      </c>
      <c r="B133" s="18" t="s">
        <v>37</v>
      </c>
      <c r="C133" s="18" t="s">
        <v>38</v>
      </c>
      <c r="D133" s="18" t="s">
        <v>39</v>
      </c>
    </row>
    <row r="134" spans="1:4" ht="54" x14ac:dyDescent="0.2">
      <c r="A134" s="18">
        <v>8</v>
      </c>
      <c r="B134" s="18" t="s">
        <v>40</v>
      </c>
      <c r="C134" s="18" t="s">
        <v>41</v>
      </c>
      <c r="D134" s="18" t="s">
        <v>43</v>
      </c>
    </row>
    <row r="135" spans="1:4" ht="54" x14ac:dyDescent="0.2">
      <c r="A135" s="18">
        <v>9</v>
      </c>
      <c r="B135" s="18" t="s">
        <v>44</v>
      </c>
      <c r="C135" s="18" t="s">
        <v>45</v>
      </c>
      <c r="D135" s="18" t="s">
        <v>46</v>
      </c>
    </row>
  </sheetData>
  <mergeCells count="1">
    <mergeCell ref="A57:C57"/>
  </mergeCells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Bingyi Zhou</cp:lastModifiedBy>
  <dcterms:created xsi:type="dcterms:W3CDTF">2015-06-05T18:19:34Z</dcterms:created>
  <dcterms:modified xsi:type="dcterms:W3CDTF">2025-12-30T15:26:15Z</dcterms:modified>
</cp:coreProperties>
</file>