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-CYT\程序\"/>
    </mc:Choice>
  </mc:AlternateContent>
  <xr:revisionPtr revIDLastSave="0" documentId="13_ncr:1_{F85B74C8-939E-45AF-A121-20D976F9EBB6}" xr6:coauthVersionLast="47" xr6:coauthVersionMax="47" xr10:uidLastSave="{00000000-0000-0000-0000-000000000000}"/>
  <bookViews>
    <workbookView xWindow="225" yWindow="285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H36" i="1"/>
  <c r="H37" i="1"/>
  <c r="H4" i="1" s="1"/>
  <c r="H38" i="1"/>
  <c r="G38" i="1" s="1"/>
  <c r="G5" i="1" s="1"/>
  <c r="H39" i="1"/>
  <c r="G39" i="1" s="1"/>
  <c r="G6" i="1" s="1"/>
  <c r="H40" i="1"/>
  <c r="F41" i="1" s="1"/>
  <c r="F8" i="1" s="1"/>
  <c r="H41" i="1"/>
  <c r="H42" i="1"/>
  <c r="H43" i="1"/>
  <c r="H44" i="1"/>
  <c r="H45" i="1"/>
  <c r="G45" i="1" s="1"/>
  <c r="G12" i="1" s="1"/>
  <c r="H46" i="1"/>
  <c r="G46" i="1" s="1"/>
  <c r="G13" i="1" s="1"/>
  <c r="H47" i="1"/>
  <c r="F48" i="1" s="1"/>
  <c r="F15" i="1" s="1"/>
  <c r="H48" i="1"/>
  <c r="F49" i="1" s="1"/>
  <c r="F16" i="1" s="1"/>
  <c r="H49" i="1"/>
  <c r="F50" i="1" s="1"/>
  <c r="F17" i="1" s="1"/>
  <c r="H50" i="1"/>
  <c r="H51" i="1"/>
  <c r="H52" i="1"/>
  <c r="H53" i="1"/>
  <c r="H20" i="1" s="1"/>
  <c r="H34" i="1"/>
  <c r="G36" i="1"/>
  <c r="G3" i="1" s="1"/>
  <c r="F38" i="1"/>
  <c r="F5" i="1" s="1"/>
  <c r="H17" i="1"/>
  <c r="G52" i="1"/>
  <c r="G19" i="1" s="1"/>
  <c r="F36" i="1"/>
  <c r="F3" i="1" s="1"/>
  <c r="F42" i="1"/>
  <c r="F43" i="1"/>
  <c r="F10" i="1" s="1"/>
  <c r="F44" i="1"/>
  <c r="F11" i="1" s="1"/>
  <c r="F45" i="1"/>
  <c r="F12" i="1" s="1"/>
  <c r="F46" i="1"/>
  <c r="F13" i="1" s="1"/>
  <c r="F51" i="1"/>
  <c r="F18" i="1" s="1"/>
  <c r="F52" i="1"/>
  <c r="F19" i="1" s="1"/>
  <c r="F35" i="1"/>
  <c r="F2" i="1" s="1"/>
  <c r="B2" i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F9" i="1"/>
  <c r="H8" i="1"/>
  <c r="H9" i="1"/>
  <c r="H10" i="1"/>
  <c r="H11" i="1"/>
  <c r="H12" i="1"/>
  <c r="H13" i="1"/>
  <c r="H14" i="1"/>
  <c r="H18" i="1"/>
  <c r="H2" i="1"/>
  <c r="G35" i="1"/>
  <c r="G2" i="1"/>
  <c r="G9" i="1"/>
  <c r="G42" i="1"/>
  <c r="G43" i="1"/>
  <c r="G10" i="1" s="1"/>
  <c r="G44" i="1"/>
  <c r="G11" i="1" s="1"/>
  <c r="G51" i="1"/>
  <c r="G18" i="1" s="1"/>
  <c r="G53" i="1" l="1"/>
  <c r="G20" i="1" s="1"/>
  <c r="G41" i="1"/>
  <c r="G8" i="1" s="1"/>
  <c r="G50" i="1"/>
  <c r="G17" i="1" s="1"/>
  <c r="G40" i="1"/>
  <c r="G7" i="1" s="1"/>
  <c r="G37" i="1"/>
  <c r="G4" i="1" s="1"/>
  <c r="H7" i="1"/>
  <c r="F47" i="1"/>
  <c r="F14" i="1" s="1"/>
  <c r="H6" i="1"/>
  <c r="H19" i="1"/>
  <c r="H3" i="1"/>
  <c r="G47" i="1"/>
  <c r="G14" i="1" s="1"/>
  <c r="F40" i="1"/>
  <c r="F7" i="1" s="1"/>
  <c r="F39" i="1"/>
  <c r="F6" i="1" s="1"/>
  <c r="G49" i="1"/>
  <c r="G16" i="1" s="1"/>
  <c r="H16" i="1"/>
  <c r="G48" i="1"/>
  <c r="G15" i="1" s="1"/>
  <c r="H5" i="1"/>
  <c r="H15" i="1"/>
  <c r="F53" i="1"/>
  <c r="F20" i="1" s="1"/>
  <c r="F37" i="1"/>
  <c r="F4" i="1" s="1"/>
</calcChain>
</file>

<file path=xl/sharedStrings.xml><?xml version="1.0" encoding="utf-8"?>
<sst xmlns="http://schemas.openxmlformats.org/spreadsheetml/2006/main" count="126" uniqueCount="72">
  <si>
    <t>常住人口</t>
  </si>
  <si>
    <t>万人</t>
  </si>
  <si>
    <t>亿元</t>
  </si>
  <si>
    <t>m³/万元</t>
  </si>
  <si>
    <t>序号</t>
  </si>
  <si>
    <t>变量名称</t>
  </si>
  <si>
    <t>符号</t>
  </si>
  <si>
    <t>单位</t>
  </si>
  <si>
    <t>变量类型</t>
  </si>
  <si>
    <t>含义说明</t>
  </si>
  <si>
    <t>数据来源</t>
  </si>
  <si>
    <t>是否用于不确定性分析</t>
  </si>
  <si>
    <t>X1X_1X1​</t>
  </si>
  <si>
    <t>规模变量</t>
  </si>
  <si>
    <t>反映区域生活用水的刚性需求规模，是经济社会需水变化的基础约束条件</t>
  </si>
  <si>
    <t>统计年鉴</t>
  </si>
  <si>
    <t>是（情景扰动）</t>
  </si>
  <si>
    <t>第一产业增加值</t>
  </si>
  <si>
    <t>X2X_2X2​</t>
  </si>
  <si>
    <t>规模/结构变量</t>
  </si>
  <si>
    <t>表征农业经济活动水平，反映农业生产结构及投入强度变化</t>
  </si>
  <si>
    <t>第二产业增加值</t>
  </si>
  <si>
    <t>X3X_3X3​</t>
  </si>
  <si>
    <t>表征工业经济活动规模，对工业用水需求具有直接影响</t>
  </si>
  <si>
    <t>第三产业增加值</t>
  </si>
  <si>
    <t>X4X_4X4​</t>
  </si>
  <si>
    <t>表征服务业发展水平，反映非工业经济活动对用水需求的影响</t>
  </si>
  <si>
    <t>城镇生活人均用水量</t>
  </si>
  <si>
    <t>X5X_5X5​</t>
  </si>
  <si>
    <t>L/(人·d)</t>
  </si>
  <si>
    <t>行为/效率变量</t>
  </si>
  <si>
    <t>反映城镇居民生活用水行为与节水水平变化</t>
  </si>
  <si>
    <t>水资源公报</t>
  </si>
  <si>
    <t>是（参数扰动）</t>
  </si>
  <si>
    <t>农村生活人均用水量</t>
  </si>
  <si>
    <t>X6X_6X6​</t>
  </si>
  <si>
    <t>反映农村居民生活用水特征及生活方式变化</t>
  </si>
  <si>
    <t>农作物播种面积</t>
  </si>
  <si>
    <t>X7X_7X7​</t>
  </si>
  <si>
    <t>万 hm²</t>
  </si>
  <si>
    <t>表征农业生产物理规模，是农业需水量的重要基础指标</t>
  </si>
  <si>
    <t>亩均灌溉用水量</t>
  </si>
  <si>
    <t>X8X_8X8​</t>
  </si>
  <si>
    <t>m³/亩</t>
  </si>
  <si>
    <t>效率变量</t>
  </si>
  <si>
    <t>反映农业灌溉用水效率及节水技术水平</t>
  </si>
  <si>
    <t>万元工业增加值用水量</t>
  </si>
  <si>
    <t>X9X_9X9​</t>
  </si>
  <si>
    <t>表征工业用水强度，体现工业节水与技术进步水平</t>
  </si>
  <si>
    <r>
      <t>X</t>
    </r>
    <r>
      <rPr>
        <vertAlign val="subscript"/>
        <sz val="14"/>
        <color rgb="FF000000"/>
        <rFont val="Times New Roman"/>
        <family val="1"/>
      </rPr>
      <t>1</t>
    </r>
  </si>
  <si>
    <r>
      <t>X</t>
    </r>
    <r>
      <rPr>
        <vertAlign val="subscript"/>
        <sz val="14"/>
        <color rgb="FF000000"/>
        <rFont val="Times New Roman"/>
        <family val="1"/>
      </rPr>
      <t>2</t>
    </r>
  </si>
  <si>
    <r>
      <t>X</t>
    </r>
    <r>
      <rPr>
        <vertAlign val="subscript"/>
        <sz val="14"/>
        <color rgb="FF000000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</si>
  <si>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</si>
  <si>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</si>
  <si>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t>地区生产总值</t>
    <phoneticPr fontId="1" type="noConversion"/>
  </si>
  <si>
    <t>常住总人口</t>
  </si>
  <si>
    <t>亩均灌溉用水量（m³/亩）</t>
  </si>
  <si>
    <t>万元工业增加值用水量（m³/万元）</t>
  </si>
  <si>
    <r>
      <rPr>
        <sz val="14"/>
        <color theme="1"/>
        <rFont val="宋体"/>
        <family val="1"/>
        <charset val="134"/>
      </rPr>
      <t>需水量</t>
    </r>
    <phoneticPr fontId="1" type="noConversion"/>
  </si>
  <si>
    <r>
      <t>X</t>
    </r>
    <r>
      <rPr>
        <vertAlign val="subscript"/>
        <sz val="14"/>
        <color rgb="FF000000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</si>
  <si>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</si>
  <si>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t>需水量（前一年）</t>
    <phoneticPr fontId="1" type="noConversion"/>
  </si>
  <si>
    <t>年份</t>
    <phoneticPr fontId="1" type="noConversion"/>
  </si>
  <si>
    <t>需水量差分</t>
    <phoneticPr fontId="1" type="noConversion"/>
  </si>
  <si>
    <r>
      <t>X</t>
    </r>
    <r>
      <rPr>
        <vertAlign val="subscript"/>
        <sz val="14"/>
        <rFont val="Times New Roman"/>
        <family val="1"/>
      </rPr>
      <t>1</t>
    </r>
  </si>
  <si>
    <r>
      <t>X</t>
    </r>
    <r>
      <rPr>
        <vertAlign val="subscript"/>
        <sz val="14"/>
        <rFont val="Times New Roman"/>
        <family val="1"/>
      </rPr>
      <t>2</t>
    </r>
  </si>
  <si>
    <r>
      <t>X</t>
    </r>
    <r>
      <rPr>
        <vertAlign val="subscript"/>
        <sz val="14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</si>
  <si>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</si>
  <si>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</si>
  <si>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</si>
  <si>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</si>
  <si>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rPr>
        <sz val="14"/>
        <rFont val="宋体"/>
        <family val="1"/>
        <charset val="134"/>
      </rPr>
      <t>需水量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</si>
</sst>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宋体"/>
      <family val="1"/>
      <charset val="134"/>
    </font>
    <font>
      <sz val="16"/>
      <color theme="1"/>
      <name val="Times New Roman"/>
      <family val="1"/>
    </font>
    <font>
      <sz val="16"/>
      <color theme="1"/>
      <name val="宋体"/>
      <family val="1"/>
      <charset val="134"/>
    </font>
    <font>
      <vertAlign val="subscript"/>
      <sz val="14"/>
      <name val="Times New Roman"/>
      <family val="1"/>
    </font>
    <font>
      <sz val="14"/>
      <name val="宋体"/>
      <family val="1"/>
      <charset val="134"/>
    </font>
    <font>
      <sz val="11"/>
      <name val="宋体"/>
      <family val="1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zoomScale="70" zoomScaleNormal="70" workbookViewId="0">
      <selection activeCell="I27" sqref="I27"/>
    </sheetView>
  </sheetViews>
  <sheetFormatPr defaultColWidth="13.125" defaultRowHeight="15" x14ac:dyDescent="0.2"/>
  <cols>
    <col min="1" max="7" width="31.5" style="1" customWidth="1"/>
    <col min="8" max="8" width="22" style="1" customWidth="1"/>
    <col min="9" max="16384" width="13.125" style="1"/>
  </cols>
  <sheetData>
    <row r="1" spans="1:10" ht="20.25" x14ac:dyDescent="0.2">
      <c r="A1" s="19" t="s">
        <v>64</v>
      </c>
      <c r="B1" s="19" t="s">
        <v>65</v>
      </c>
      <c r="C1" s="19" t="s">
        <v>66</v>
      </c>
      <c r="D1" s="19" t="s">
        <v>67</v>
      </c>
      <c r="E1" s="19" t="s">
        <v>68</v>
      </c>
      <c r="F1" s="19" t="s">
        <v>69</v>
      </c>
      <c r="G1" s="19" t="s">
        <v>70</v>
      </c>
      <c r="H1" s="13" t="s">
        <v>71</v>
      </c>
      <c r="I1" s="20" t="s">
        <v>62</v>
      </c>
      <c r="J1" s="11"/>
    </row>
    <row r="2" spans="1:10" ht="18.75" x14ac:dyDescent="0.3">
      <c r="A2" s="10">
        <v>7588.24</v>
      </c>
      <c r="B2" s="19">
        <f t="shared" ref="B2:E17" si="0">B35</f>
        <v>18121.330000000002</v>
      </c>
      <c r="C2" s="19">
        <f t="shared" si="0"/>
        <v>7641.2</v>
      </c>
      <c r="D2" s="19">
        <f t="shared" si="0"/>
        <v>499.9</v>
      </c>
      <c r="E2" s="19">
        <f t="shared" si="0"/>
        <v>32.200000000000003</v>
      </c>
      <c r="F2" s="19">
        <f>F35</f>
        <v>125.60000000000002</v>
      </c>
      <c r="G2" s="19">
        <f>G35</f>
        <v>-5.8999999999999773</v>
      </c>
      <c r="H2" s="13">
        <f>H35</f>
        <v>119.70000000000005</v>
      </c>
      <c r="I2" s="21">
        <v>2005</v>
      </c>
    </row>
    <row r="3" spans="1:10" ht="18.75" x14ac:dyDescent="0.3">
      <c r="A3" s="10">
        <v>7655.66</v>
      </c>
      <c r="B3" s="19">
        <f t="shared" si="0"/>
        <v>21240.79</v>
      </c>
      <c r="C3" s="19">
        <f t="shared" si="0"/>
        <v>7385.16</v>
      </c>
      <c r="D3" s="19">
        <f t="shared" si="0"/>
        <v>492.3</v>
      </c>
      <c r="E3" s="19">
        <f t="shared" si="0"/>
        <v>30.5</v>
      </c>
      <c r="F3" s="19">
        <f t="shared" ref="F3:F20" si="1">F36</f>
        <v>119.70000000000005</v>
      </c>
      <c r="G3" s="19">
        <f t="shared" ref="G3:H20" si="2">G36</f>
        <v>26.699999999999932</v>
      </c>
      <c r="H3" s="13">
        <f t="shared" si="2"/>
        <v>146.39999999999998</v>
      </c>
      <c r="I3" s="21">
        <v>2006</v>
      </c>
    </row>
    <row r="4" spans="1:10" ht="18.75" x14ac:dyDescent="0.3">
      <c r="A4" s="10">
        <v>7723.13</v>
      </c>
      <c r="B4" s="19">
        <f t="shared" si="0"/>
        <v>25988.36</v>
      </c>
      <c r="C4" s="19">
        <f t="shared" si="0"/>
        <v>7362.79</v>
      </c>
      <c r="D4" s="19">
        <f t="shared" si="0"/>
        <v>484.7</v>
      </c>
      <c r="E4" s="19">
        <f t="shared" si="0"/>
        <v>28.8</v>
      </c>
      <c r="F4" s="19">
        <f t="shared" si="1"/>
        <v>146.39999999999998</v>
      </c>
      <c r="G4" s="19">
        <f t="shared" si="2"/>
        <v>11.899999999999977</v>
      </c>
      <c r="H4" s="13">
        <f t="shared" si="2"/>
        <v>158.29999999999995</v>
      </c>
      <c r="I4" s="21">
        <v>2007</v>
      </c>
    </row>
    <row r="5" spans="1:10" ht="18.75" x14ac:dyDescent="0.3">
      <c r="A5" s="10">
        <v>7762.48</v>
      </c>
      <c r="B5" s="19">
        <f t="shared" si="0"/>
        <v>30945.45</v>
      </c>
      <c r="C5" s="19">
        <f t="shared" si="0"/>
        <v>7494.85</v>
      </c>
      <c r="D5" s="19">
        <f t="shared" si="0"/>
        <v>477.1</v>
      </c>
      <c r="E5" s="19">
        <f t="shared" si="0"/>
        <v>27.1</v>
      </c>
      <c r="F5" s="19">
        <f t="shared" si="1"/>
        <v>158.29999999999995</v>
      </c>
      <c r="G5" s="19">
        <f t="shared" si="2"/>
        <v>0</v>
      </c>
      <c r="H5" s="13">
        <f t="shared" si="2"/>
        <v>158.29999999999995</v>
      </c>
      <c r="I5" s="21">
        <v>2008</v>
      </c>
    </row>
    <row r="6" spans="1:10" ht="18.75" x14ac:dyDescent="0.3">
      <c r="A6" s="10">
        <v>7810.27</v>
      </c>
      <c r="B6" s="19">
        <f t="shared" si="0"/>
        <v>34471.67</v>
      </c>
      <c r="C6" s="19">
        <f t="shared" si="0"/>
        <v>7542.63</v>
      </c>
      <c r="D6" s="19">
        <f t="shared" si="0"/>
        <v>469.5</v>
      </c>
      <c r="E6" s="19">
        <f t="shared" si="0"/>
        <v>25.4</v>
      </c>
      <c r="F6" s="19">
        <f t="shared" si="1"/>
        <v>158.29999999999995</v>
      </c>
      <c r="G6" s="19">
        <f t="shared" si="2"/>
        <v>-9.0999999999999091</v>
      </c>
      <c r="H6" s="13">
        <f t="shared" si="2"/>
        <v>149.20000000000005</v>
      </c>
      <c r="I6" s="21">
        <v>2009</v>
      </c>
    </row>
    <row r="7" spans="1:10" ht="18.75" x14ac:dyDescent="0.3">
      <c r="A7" s="10">
        <v>7869.34</v>
      </c>
      <c r="B7" s="19">
        <f t="shared" si="0"/>
        <v>41383.870000000003</v>
      </c>
      <c r="C7" s="19">
        <f t="shared" si="0"/>
        <v>7616.96</v>
      </c>
      <c r="D7" s="19">
        <f t="shared" si="0"/>
        <v>463</v>
      </c>
      <c r="E7" s="19">
        <f t="shared" si="0"/>
        <v>24</v>
      </c>
      <c r="F7" s="19">
        <f t="shared" si="1"/>
        <v>149.20000000000005</v>
      </c>
      <c r="G7" s="19">
        <f t="shared" si="2"/>
        <v>3</v>
      </c>
      <c r="H7" s="13">
        <f t="shared" si="2"/>
        <v>152.20000000000005</v>
      </c>
      <c r="I7" s="21">
        <v>2010</v>
      </c>
    </row>
    <row r="8" spans="1:10" ht="18.75" x14ac:dyDescent="0.3">
      <c r="A8" s="10">
        <v>8022.99</v>
      </c>
      <c r="B8" s="19">
        <f t="shared" si="0"/>
        <v>48839.21</v>
      </c>
      <c r="C8" s="19">
        <f t="shared" si="0"/>
        <v>7646.43</v>
      </c>
      <c r="D8" s="19">
        <f t="shared" si="0"/>
        <v>461</v>
      </c>
      <c r="E8" s="19">
        <f t="shared" si="0"/>
        <v>22</v>
      </c>
      <c r="F8" s="19">
        <f t="shared" si="1"/>
        <v>152.20000000000005</v>
      </c>
      <c r="G8" s="19">
        <f t="shared" si="2"/>
        <v>4</v>
      </c>
      <c r="H8" s="13">
        <f t="shared" si="2"/>
        <v>156.20000000000005</v>
      </c>
      <c r="I8" s="21">
        <v>2011</v>
      </c>
    </row>
    <row r="9" spans="1:10" ht="18.75" x14ac:dyDescent="0.3">
      <c r="A9" s="10">
        <v>8119.81</v>
      </c>
      <c r="B9" s="19">
        <f t="shared" si="0"/>
        <v>53701.919999999998</v>
      </c>
      <c r="C9" s="19">
        <f t="shared" si="0"/>
        <v>7651.38</v>
      </c>
      <c r="D9" s="19">
        <f t="shared" si="0"/>
        <v>430</v>
      </c>
      <c r="E9" s="19">
        <f t="shared" si="0"/>
        <v>19</v>
      </c>
      <c r="F9" s="19">
        <f t="shared" si="1"/>
        <v>156.20000000000005</v>
      </c>
      <c r="G9" s="19">
        <f t="shared" si="2"/>
        <v>-4</v>
      </c>
      <c r="H9" s="13">
        <f t="shared" si="2"/>
        <v>152.20000000000005</v>
      </c>
      <c r="I9" s="21">
        <v>2012</v>
      </c>
    </row>
    <row r="10" spans="1:10" ht="18.75" x14ac:dyDescent="0.3">
      <c r="A10" s="10">
        <v>8192.44</v>
      </c>
      <c r="B10" s="19">
        <f t="shared" si="0"/>
        <v>59349.41</v>
      </c>
      <c r="C10" s="19">
        <f t="shared" si="0"/>
        <v>7661</v>
      </c>
      <c r="D10" s="19">
        <f t="shared" si="0"/>
        <v>448</v>
      </c>
      <c r="E10" s="19">
        <f t="shared" si="0"/>
        <v>19.3</v>
      </c>
      <c r="F10" s="19">
        <f t="shared" si="1"/>
        <v>152.20000000000005</v>
      </c>
      <c r="G10" s="19">
        <f t="shared" si="2"/>
        <v>-53.300000000000068</v>
      </c>
      <c r="H10" s="13">
        <f t="shared" si="2"/>
        <v>98.899999999999977</v>
      </c>
      <c r="I10" s="21">
        <v>2013</v>
      </c>
    </row>
    <row r="11" spans="1:10" ht="18.75" x14ac:dyDescent="0.3">
      <c r="A11" s="10">
        <v>8281.09</v>
      </c>
      <c r="B11" s="19">
        <f t="shared" si="0"/>
        <v>64830.51</v>
      </c>
      <c r="C11" s="19">
        <f t="shared" si="0"/>
        <v>7672.27</v>
      </c>
      <c r="D11" s="19">
        <f t="shared" si="0"/>
        <v>433.3</v>
      </c>
      <c r="E11" s="19">
        <f t="shared" si="0"/>
        <v>17.399999999999999</v>
      </c>
      <c r="F11" s="19">
        <f t="shared" si="1"/>
        <v>98.899999999999977</v>
      </c>
      <c r="G11" s="19">
        <f t="shared" si="2"/>
        <v>-18.199999999999989</v>
      </c>
      <c r="H11" s="13">
        <f t="shared" si="2"/>
        <v>80.699999999999989</v>
      </c>
      <c r="I11" s="21">
        <v>2014</v>
      </c>
    </row>
    <row r="12" spans="1:10" ht="18.75" x14ac:dyDescent="0.3">
      <c r="A12" s="10">
        <v>8315.11</v>
      </c>
      <c r="B12" s="19">
        <f t="shared" si="0"/>
        <v>71255.929999999993</v>
      </c>
      <c r="C12" s="19">
        <f t="shared" si="0"/>
        <v>7737.75</v>
      </c>
      <c r="D12" s="19">
        <f t="shared" si="0"/>
        <v>402</v>
      </c>
      <c r="E12" s="19">
        <f t="shared" si="0"/>
        <v>16.5</v>
      </c>
      <c r="F12" s="19">
        <f t="shared" si="1"/>
        <v>80.699999999999989</v>
      </c>
      <c r="G12" s="19">
        <f t="shared" si="2"/>
        <v>-20.099999999999966</v>
      </c>
      <c r="H12" s="13">
        <f t="shared" si="2"/>
        <v>60.600000000000023</v>
      </c>
      <c r="I12" s="21">
        <v>2015</v>
      </c>
    </row>
    <row r="13" spans="1:10" ht="18.75" x14ac:dyDescent="0.3">
      <c r="A13" s="10">
        <v>8381.4699999999993</v>
      </c>
      <c r="B13" s="19">
        <f t="shared" si="0"/>
        <v>77350.850000000006</v>
      </c>
      <c r="C13" s="19">
        <f t="shared" si="0"/>
        <v>7639.92</v>
      </c>
      <c r="D13" s="19">
        <f t="shared" si="0"/>
        <v>410</v>
      </c>
      <c r="E13" s="19">
        <f t="shared" si="0"/>
        <v>41.2</v>
      </c>
      <c r="F13" s="19">
        <f t="shared" si="1"/>
        <v>60.600000000000023</v>
      </c>
      <c r="G13" s="19">
        <f t="shared" si="2"/>
        <v>-7.4000000000000341</v>
      </c>
      <c r="H13" s="13">
        <f t="shared" si="2"/>
        <v>53.199999999999989</v>
      </c>
      <c r="I13" s="21">
        <v>2016</v>
      </c>
    </row>
    <row r="14" spans="1:10" ht="18.75" x14ac:dyDescent="0.3">
      <c r="A14" s="10">
        <v>8423.5</v>
      </c>
      <c r="B14" s="19">
        <f t="shared" si="0"/>
        <v>85869.759999999995</v>
      </c>
      <c r="C14" s="19">
        <f t="shared" si="0"/>
        <v>7556.4</v>
      </c>
      <c r="D14" s="19">
        <f t="shared" si="0"/>
        <v>427</v>
      </c>
      <c r="E14" s="19">
        <f t="shared" si="0"/>
        <v>36.700000000000003</v>
      </c>
      <c r="F14" s="19">
        <f t="shared" si="1"/>
        <v>53.199999999999989</v>
      </c>
      <c r="G14" s="19">
        <f t="shared" si="2"/>
        <v>12.699999999999989</v>
      </c>
      <c r="H14" s="13">
        <f t="shared" si="2"/>
        <v>65.899999999999977</v>
      </c>
      <c r="I14" s="21">
        <v>2017</v>
      </c>
    </row>
    <row r="15" spans="1:10" ht="18.75" x14ac:dyDescent="0.3">
      <c r="A15" s="10">
        <v>8446.19</v>
      </c>
      <c r="B15" s="19">
        <f t="shared" si="0"/>
        <v>93207.55</v>
      </c>
      <c r="C15" s="19">
        <f t="shared" si="0"/>
        <v>7520.23</v>
      </c>
      <c r="D15" s="19">
        <f t="shared" si="0"/>
        <v>429</v>
      </c>
      <c r="E15" s="19">
        <f t="shared" si="0"/>
        <v>34.200000000000003</v>
      </c>
      <c r="F15" s="19">
        <f t="shared" si="1"/>
        <v>65.899999999999977</v>
      </c>
      <c r="G15" s="19">
        <f t="shared" si="2"/>
        <v>-5.6999999999999886</v>
      </c>
      <c r="H15" s="13">
        <f t="shared" si="2"/>
        <v>60.199999999999989</v>
      </c>
      <c r="I15" s="21">
        <v>2018</v>
      </c>
    </row>
    <row r="16" spans="1:10" ht="18.75" x14ac:dyDescent="0.3">
      <c r="A16" s="10">
        <v>8469.09</v>
      </c>
      <c r="B16" s="19">
        <f t="shared" si="0"/>
        <v>98656.82</v>
      </c>
      <c r="C16" s="19">
        <f t="shared" si="0"/>
        <v>7442.63</v>
      </c>
      <c r="D16" s="19">
        <f t="shared" si="0"/>
        <v>474.7</v>
      </c>
      <c r="E16" s="19">
        <f t="shared" si="0"/>
        <v>32.4</v>
      </c>
      <c r="F16" s="19">
        <f t="shared" si="1"/>
        <v>60.199999999999989</v>
      </c>
      <c r="G16" s="19">
        <f t="shared" si="2"/>
        <v>33.199999999999989</v>
      </c>
      <c r="H16" s="13">
        <f t="shared" si="2"/>
        <v>93.399999999999977</v>
      </c>
      <c r="I16" s="21">
        <v>2019</v>
      </c>
    </row>
    <row r="17" spans="1:9" ht="18.75" x14ac:dyDescent="0.3">
      <c r="A17" s="10">
        <v>8477.26</v>
      </c>
      <c r="B17" s="19">
        <f t="shared" si="0"/>
        <v>102807.67999999999</v>
      </c>
      <c r="C17" s="19">
        <f t="shared" si="0"/>
        <v>7478.39</v>
      </c>
      <c r="D17" s="19">
        <f t="shared" si="0"/>
        <v>423.1</v>
      </c>
      <c r="E17" s="19">
        <f t="shared" si="0"/>
        <v>31.1</v>
      </c>
      <c r="F17" s="19">
        <f t="shared" si="1"/>
        <v>93.399999999999977</v>
      </c>
      <c r="G17" s="19">
        <f t="shared" si="2"/>
        <v>-40.699999999999989</v>
      </c>
      <c r="H17" s="13">
        <f t="shared" si="2"/>
        <v>52.699999999999989</v>
      </c>
      <c r="I17" s="21">
        <v>2020</v>
      </c>
    </row>
    <row r="18" spans="1:9" ht="18.75" x14ac:dyDescent="0.3">
      <c r="A18" s="10">
        <v>8505.4</v>
      </c>
      <c r="B18" s="19">
        <f t="shared" ref="B18:E20" si="3">B51</f>
        <v>117392.36</v>
      </c>
      <c r="C18" s="19">
        <f t="shared" si="3"/>
        <v>7514.45</v>
      </c>
      <c r="D18" s="19">
        <f t="shared" si="3"/>
        <v>395.1</v>
      </c>
      <c r="E18" s="19">
        <f t="shared" si="3"/>
        <v>19.399999999999999</v>
      </c>
      <c r="F18" s="19">
        <f t="shared" si="1"/>
        <v>52.699999999999989</v>
      </c>
      <c r="G18" s="19">
        <f t="shared" si="2"/>
        <v>114.90000000000003</v>
      </c>
      <c r="H18" s="13">
        <f t="shared" si="2"/>
        <v>167.60000000000002</v>
      </c>
      <c r="I18" s="21">
        <v>2021</v>
      </c>
    </row>
    <row r="19" spans="1:9" ht="18.75" x14ac:dyDescent="0.3">
      <c r="A19" s="10">
        <v>8515</v>
      </c>
      <c r="B19" s="19">
        <f t="shared" si="3"/>
        <v>122089.28</v>
      </c>
      <c r="C19" s="19">
        <f t="shared" si="3"/>
        <v>7534.24</v>
      </c>
      <c r="D19" s="19">
        <f t="shared" si="3"/>
        <v>476.1</v>
      </c>
      <c r="E19" s="19">
        <f t="shared" si="3"/>
        <v>17.8</v>
      </c>
      <c r="F19" s="19">
        <f t="shared" si="1"/>
        <v>167.60000000000002</v>
      </c>
      <c r="G19" s="19">
        <f t="shared" si="2"/>
        <v>44.199999999999932</v>
      </c>
      <c r="H19" s="13">
        <f t="shared" si="2"/>
        <v>211.79999999999995</v>
      </c>
      <c r="I19" s="21">
        <v>2022</v>
      </c>
    </row>
    <row r="20" spans="1:9" ht="18.75" x14ac:dyDescent="0.3">
      <c r="A20" s="10">
        <v>8526</v>
      </c>
      <c r="B20" s="19">
        <f t="shared" si="3"/>
        <v>128222.16</v>
      </c>
      <c r="C20" s="19">
        <f t="shared" si="3"/>
        <v>7589.96</v>
      </c>
      <c r="D20" s="19">
        <f t="shared" si="3"/>
        <v>400.2</v>
      </c>
      <c r="E20" s="19">
        <f t="shared" si="3"/>
        <v>17.7</v>
      </c>
      <c r="F20" s="19">
        <f t="shared" si="1"/>
        <v>211.79999999999995</v>
      </c>
      <c r="G20" s="19">
        <f t="shared" si="2"/>
        <v>-40.399999999999977</v>
      </c>
      <c r="H20" s="13">
        <f t="shared" si="2"/>
        <v>171.39999999999998</v>
      </c>
      <c r="I20" s="21">
        <v>2023</v>
      </c>
    </row>
    <row r="22" spans="1:9" ht="40.5" x14ac:dyDescent="0.2">
      <c r="A22" s="17" t="s">
        <v>55</v>
      </c>
      <c r="B22" s="18" t="s">
        <v>54</v>
      </c>
      <c r="C22" s="17" t="s">
        <v>37</v>
      </c>
      <c r="D22" s="17" t="s">
        <v>56</v>
      </c>
      <c r="E22" s="17" t="s">
        <v>57</v>
      </c>
      <c r="F22" s="18" t="s">
        <v>61</v>
      </c>
      <c r="G22" s="18" t="s">
        <v>63</v>
      </c>
    </row>
    <row r="23" spans="1:9" ht="20.25" x14ac:dyDescent="0.2">
      <c r="A23" s="17"/>
      <c r="B23" s="17"/>
      <c r="C23" s="17"/>
      <c r="D23" s="17"/>
      <c r="E23" s="17"/>
      <c r="F23" s="17"/>
      <c r="G23" s="17"/>
    </row>
    <row r="33" spans="1:10" ht="20.25" x14ac:dyDescent="0.2">
      <c r="A33" s="12" t="s">
        <v>49</v>
      </c>
      <c r="B33" s="12" t="s">
        <v>50</v>
      </c>
      <c r="C33" s="12" t="s">
        <v>51</v>
      </c>
      <c r="D33" s="12" t="s">
        <v>52</v>
      </c>
      <c r="E33" s="12" t="s">
        <v>53</v>
      </c>
      <c r="F33" s="12" t="s">
        <v>59</v>
      </c>
      <c r="G33" s="12" t="s">
        <v>60</v>
      </c>
      <c r="H33" s="14" t="s">
        <v>58</v>
      </c>
      <c r="J33" s="14" t="s">
        <v>58</v>
      </c>
    </row>
    <row r="34" spans="1:10" ht="18.75" x14ac:dyDescent="0.3">
      <c r="A34" s="4">
        <v>7522.95</v>
      </c>
      <c r="B34" s="15">
        <v>14823.13</v>
      </c>
      <c r="C34" s="5">
        <v>7668.98</v>
      </c>
      <c r="D34" s="6">
        <v>507.5</v>
      </c>
      <c r="E34" s="7">
        <v>33.9</v>
      </c>
      <c r="F34" s="7"/>
      <c r="H34" s="13">
        <f>J34-400</f>
        <v>125.60000000000002</v>
      </c>
      <c r="I34" s="1">
        <v>2004</v>
      </c>
      <c r="J34" s="13">
        <v>525.6</v>
      </c>
    </row>
    <row r="35" spans="1:10" ht="18.75" x14ac:dyDescent="0.3">
      <c r="A35" s="4">
        <v>7588.24</v>
      </c>
      <c r="B35" s="15">
        <v>18121.330000000002</v>
      </c>
      <c r="C35" s="5">
        <v>7641.2</v>
      </c>
      <c r="D35" s="6">
        <v>499.9</v>
      </c>
      <c r="E35" s="7">
        <v>32.200000000000003</v>
      </c>
      <c r="F35" s="19">
        <f>H34</f>
        <v>125.60000000000002</v>
      </c>
      <c r="G35" s="7">
        <f>H35-H34</f>
        <v>-5.8999999999999773</v>
      </c>
      <c r="H35" s="13">
        <f t="shared" ref="H35:H53" si="4">J35-400</f>
        <v>119.70000000000005</v>
      </c>
      <c r="I35" s="1">
        <v>2005</v>
      </c>
      <c r="J35" s="13">
        <v>519.70000000000005</v>
      </c>
    </row>
    <row r="36" spans="1:10" ht="18.75" x14ac:dyDescent="0.3">
      <c r="A36" s="4">
        <v>7655.66</v>
      </c>
      <c r="B36" s="15">
        <v>21240.79</v>
      </c>
      <c r="C36" s="5">
        <v>7385.16</v>
      </c>
      <c r="D36" s="6">
        <v>492.3</v>
      </c>
      <c r="E36" s="7">
        <v>30.5</v>
      </c>
      <c r="F36" s="19">
        <f t="shared" ref="F36:F53" si="5">H35</f>
        <v>119.70000000000005</v>
      </c>
      <c r="G36" s="7">
        <f t="shared" ref="G35:G53" si="6">H36-H35</f>
        <v>26.699999999999932</v>
      </c>
      <c r="H36" s="13">
        <f t="shared" si="4"/>
        <v>146.39999999999998</v>
      </c>
      <c r="I36" s="1">
        <v>2006</v>
      </c>
      <c r="J36" s="13">
        <v>546.4</v>
      </c>
    </row>
    <row r="37" spans="1:10" ht="18.75" x14ac:dyDescent="0.3">
      <c r="A37" s="4">
        <v>7723.13</v>
      </c>
      <c r="B37" s="15">
        <v>25988.36</v>
      </c>
      <c r="C37" s="5">
        <v>7362.79</v>
      </c>
      <c r="D37" s="6">
        <v>484.7</v>
      </c>
      <c r="E37" s="7">
        <v>28.8</v>
      </c>
      <c r="F37" s="19">
        <f t="shared" si="5"/>
        <v>146.39999999999998</v>
      </c>
      <c r="G37" s="7">
        <f t="shared" si="6"/>
        <v>11.899999999999977</v>
      </c>
      <c r="H37" s="13">
        <f t="shared" si="4"/>
        <v>158.29999999999995</v>
      </c>
      <c r="I37" s="1">
        <v>2007</v>
      </c>
      <c r="J37" s="13">
        <v>558.29999999999995</v>
      </c>
    </row>
    <row r="38" spans="1:10" ht="18.75" x14ac:dyDescent="0.3">
      <c r="A38" s="4">
        <v>7762.48</v>
      </c>
      <c r="B38" s="15">
        <v>30945.45</v>
      </c>
      <c r="C38" s="5">
        <v>7494.85</v>
      </c>
      <c r="D38" s="6">
        <v>477.1</v>
      </c>
      <c r="E38" s="7">
        <v>27.1</v>
      </c>
      <c r="F38" s="19">
        <f t="shared" si="5"/>
        <v>158.29999999999995</v>
      </c>
      <c r="G38" s="7">
        <f t="shared" si="6"/>
        <v>0</v>
      </c>
      <c r="H38" s="13">
        <f t="shared" si="4"/>
        <v>158.29999999999995</v>
      </c>
      <c r="I38" s="1">
        <v>2008</v>
      </c>
      <c r="J38" s="13">
        <v>558.29999999999995</v>
      </c>
    </row>
    <row r="39" spans="1:10" ht="18.75" x14ac:dyDescent="0.3">
      <c r="A39" s="4">
        <v>7810.27</v>
      </c>
      <c r="B39" s="15">
        <v>34471.67</v>
      </c>
      <c r="C39" s="5">
        <v>7542.63</v>
      </c>
      <c r="D39" s="6">
        <v>469.5</v>
      </c>
      <c r="E39" s="7">
        <v>25.4</v>
      </c>
      <c r="F39" s="19">
        <f t="shared" si="5"/>
        <v>158.29999999999995</v>
      </c>
      <c r="G39" s="7">
        <f t="shared" si="6"/>
        <v>-9.0999999999999091</v>
      </c>
      <c r="H39" s="13">
        <f t="shared" si="4"/>
        <v>149.20000000000005</v>
      </c>
      <c r="I39" s="1">
        <v>2009</v>
      </c>
      <c r="J39" s="13">
        <v>549.20000000000005</v>
      </c>
    </row>
    <row r="40" spans="1:10" ht="18.75" x14ac:dyDescent="0.3">
      <c r="A40" s="4">
        <v>7869.34</v>
      </c>
      <c r="B40" s="15">
        <v>41383.870000000003</v>
      </c>
      <c r="C40" s="5">
        <v>7616.96</v>
      </c>
      <c r="D40" s="8">
        <v>463</v>
      </c>
      <c r="E40" s="9">
        <v>24</v>
      </c>
      <c r="F40" s="19">
        <f t="shared" si="5"/>
        <v>149.20000000000005</v>
      </c>
      <c r="G40" s="7">
        <f t="shared" si="6"/>
        <v>3</v>
      </c>
      <c r="H40" s="13">
        <f t="shared" si="4"/>
        <v>152.20000000000005</v>
      </c>
      <c r="I40" s="1">
        <v>2010</v>
      </c>
      <c r="J40" s="14">
        <v>552.20000000000005</v>
      </c>
    </row>
    <row r="41" spans="1:10" ht="18.75" x14ac:dyDescent="0.3">
      <c r="A41" s="4">
        <v>8022.99</v>
      </c>
      <c r="B41" s="15">
        <v>48839.21</v>
      </c>
      <c r="C41" s="5">
        <v>7646.43</v>
      </c>
      <c r="D41" s="8">
        <v>461</v>
      </c>
      <c r="E41" s="9">
        <v>22</v>
      </c>
      <c r="F41" s="19">
        <f t="shared" si="5"/>
        <v>152.20000000000005</v>
      </c>
      <c r="G41" s="7">
        <f t="shared" si="6"/>
        <v>4</v>
      </c>
      <c r="H41" s="13">
        <f t="shared" si="4"/>
        <v>156.20000000000005</v>
      </c>
      <c r="I41" s="1">
        <v>2011</v>
      </c>
      <c r="J41" s="14">
        <v>556.20000000000005</v>
      </c>
    </row>
    <row r="42" spans="1:10" ht="18.75" x14ac:dyDescent="0.3">
      <c r="A42" s="4">
        <v>8119.81</v>
      </c>
      <c r="B42" s="15">
        <v>53701.919999999998</v>
      </c>
      <c r="C42" s="5">
        <v>7651.38</v>
      </c>
      <c r="D42" s="8">
        <v>430</v>
      </c>
      <c r="E42" s="9">
        <v>19</v>
      </c>
      <c r="F42" s="19">
        <f t="shared" si="5"/>
        <v>156.20000000000005</v>
      </c>
      <c r="G42" s="7">
        <f t="shared" si="6"/>
        <v>-4</v>
      </c>
      <c r="H42" s="13">
        <f t="shared" si="4"/>
        <v>152.20000000000005</v>
      </c>
      <c r="I42" s="1">
        <v>2012</v>
      </c>
      <c r="J42" s="14">
        <v>552.20000000000005</v>
      </c>
    </row>
    <row r="43" spans="1:10" ht="18.75" x14ac:dyDescent="0.3">
      <c r="A43" s="4">
        <v>8192.44</v>
      </c>
      <c r="B43" s="15">
        <v>59349.41</v>
      </c>
      <c r="C43" s="5">
        <v>7661</v>
      </c>
      <c r="D43" s="8">
        <v>448</v>
      </c>
      <c r="E43" s="9">
        <v>19.3</v>
      </c>
      <c r="F43" s="19">
        <f t="shared" si="5"/>
        <v>152.20000000000005</v>
      </c>
      <c r="G43" s="7">
        <f t="shared" si="6"/>
        <v>-53.300000000000068</v>
      </c>
      <c r="H43" s="13">
        <f t="shared" si="4"/>
        <v>98.899999999999977</v>
      </c>
      <c r="I43" s="1">
        <v>2013</v>
      </c>
      <c r="J43" s="14">
        <v>498.9</v>
      </c>
    </row>
    <row r="44" spans="1:10" ht="18.75" x14ac:dyDescent="0.3">
      <c r="A44" s="4">
        <v>8281.09</v>
      </c>
      <c r="B44" s="15">
        <v>64830.51</v>
      </c>
      <c r="C44" s="5">
        <v>7672.27</v>
      </c>
      <c r="D44" s="8">
        <v>433.3</v>
      </c>
      <c r="E44" s="9">
        <v>17.399999999999999</v>
      </c>
      <c r="F44" s="19">
        <f t="shared" si="5"/>
        <v>98.899999999999977</v>
      </c>
      <c r="G44" s="7">
        <f t="shared" si="6"/>
        <v>-18.199999999999989</v>
      </c>
      <c r="H44" s="13">
        <f t="shared" si="4"/>
        <v>80.699999999999989</v>
      </c>
      <c r="I44" s="1">
        <v>2014</v>
      </c>
      <c r="J44" s="14">
        <v>480.7</v>
      </c>
    </row>
    <row r="45" spans="1:10" ht="18.75" x14ac:dyDescent="0.3">
      <c r="A45" s="4">
        <v>8315.11</v>
      </c>
      <c r="B45" s="15">
        <v>71255.929999999993</v>
      </c>
      <c r="C45" s="5">
        <v>7737.75</v>
      </c>
      <c r="D45" s="8">
        <v>402</v>
      </c>
      <c r="E45" s="9">
        <v>16.5</v>
      </c>
      <c r="F45" s="19">
        <f t="shared" si="5"/>
        <v>80.699999999999989</v>
      </c>
      <c r="G45" s="7">
        <f t="shared" si="6"/>
        <v>-20.099999999999966</v>
      </c>
      <c r="H45" s="13">
        <f t="shared" si="4"/>
        <v>60.600000000000023</v>
      </c>
      <c r="I45" s="1">
        <v>2015</v>
      </c>
      <c r="J45" s="14">
        <v>460.6</v>
      </c>
    </row>
    <row r="46" spans="1:10" ht="18.75" x14ac:dyDescent="0.3">
      <c r="A46" s="4">
        <v>8381.4699999999993</v>
      </c>
      <c r="B46" s="15">
        <v>77350.850000000006</v>
      </c>
      <c r="C46" s="5">
        <v>7639.92</v>
      </c>
      <c r="D46" s="8">
        <v>410</v>
      </c>
      <c r="E46" s="9">
        <v>41.2</v>
      </c>
      <c r="F46" s="19">
        <f t="shared" si="5"/>
        <v>60.600000000000023</v>
      </c>
      <c r="G46" s="7">
        <f t="shared" si="6"/>
        <v>-7.4000000000000341</v>
      </c>
      <c r="H46" s="13">
        <f t="shared" si="4"/>
        <v>53.199999999999989</v>
      </c>
      <c r="I46" s="1">
        <v>2016</v>
      </c>
      <c r="J46" s="14">
        <v>453.2</v>
      </c>
    </row>
    <row r="47" spans="1:10" ht="18.75" x14ac:dyDescent="0.3">
      <c r="A47" s="4">
        <v>8423.5</v>
      </c>
      <c r="B47" s="15">
        <v>85869.759999999995</v>
      </c>
      <c r="C47" s="5">
        <v>7556.4</v>
      </c>
      <c r="D47" s="8">
        <v>427</v>
      </c>
      <c r="E47" s="9">
        <v>36.700000000000003</v>
      </c>
      <c r="F47" s="19">
        <f t="shared" si="5"/>
        <v>53.199999999999989</v>
      </c>
      <c r="G47" s="7">
        <f t="shared" si="6"/>
        <v>12.699999999999989</v>
      </c>
      <c r="H47" s="13">
        <f t="shared" si="4"/>
        <v>65.899999999999977</v>
      </c>
      <c r="I47" s="1">
        <v>2017</v>
      </c>
      <c r="J47" s="14">
        <v>465.9</v>
      </c>
    </row>
    <row r="48" spans="1:10" ht="18.75" x14ac:dyDescent="0.3">
      <c r="A48" s="4">
        <v>8446.19</v>
      </c>
      <c r="B48" s="15">
        <v>93207.55</v>
      </c>
      <c r="C48" s="5">
        <v>7520.23</v>
      </c>
      <c r="D48" s="8">
        <v>429</v>
      </c>
      <c r="E48" s="9">
        <v>34.200000000000003</v>
      </c>
      <c r="F48" s="19">
        <f t="shared" si="5"/>
        <v>65.899999999999977</v>
      </c>
      <c r="G48" s="7">
        <f t="shared" si="6"/>
        <v>-5.6999999999999886</v>
      </c>
      <c r="H48" s="13">
        <f t="shared" si="4"/>
        <v>60.199999999999989</v>
      </c>
      <c r="I48" s="1">
        <v>2018</v>
      </c>
      <c r="J48" s="14">
        <v>460.2</v>
      </c>
    </row>
    <row r="49" spans="1:10" ht="18.75" x14ac:dyDescent="0.3">
      <c r="A49" s="4">
        <v>8469.09</v>
      </c>
      <c r="B49" s="15">
        <v>98656.82</v>
      </c>
      <c r="C49" s="5">
        <v>7442.63</v>
      </c>
      <c r="D49" s="8">
        <v>474.7</v>
      </c>
      <c r="E49" s="9">
        <v>32.4</v>
      </c>
      <c r="F49" s="19">
        <f t="shared" si="5"/>
        <v>60.199999999999989</v>
      </c>
      <c r="G49" s="7">
        <f t="shared" si="6"/>
        <v>33.199999999999989</v>
      </c>
      <c r="H49" s="13">
        <f t="shared" si="4"/>
        <v>93.399999999999977</v>
      </c>
      <c r="I49" s="1">
        <v>2019</v>
      </c>
      <c r="J49" s="14">
        <v>493.4</v>
      </c>
    </row>
    <row r="50" spans="1:10" ht="18.75" x14ac:dyDescent="0.3">
      <c r="A50" s="10">
        <v>8477.26</v>
      </c>
      <c r="B50" s="15">
        <v>102807.67999999999</v>
      </c>
      <c r="C50" s="5">
        <v>7478.39</v>
      </c>
      <c r="D50" s="8">
        <v>423.1</v>
      </c>
      <c r="E50" s="9">
        <v>31.1</v>
      </c>
      <c r="F50" s="19">
        <f t="shared" si="5"/>
        <v>93.399999999999977</v>
      </c>
      <c r="G50" s="7">
        <f t="shared" si="6"/>
        <v>-40.699999999999989</v>
      </c>
      <c r="H50" s="13">
        <f t="shared" si="4"/>
        <v>52.699999999999989</v>
      </c>
      <c r="I50" s="1">
        <v>2020</v>
      </c>
      <c r="J50" s="14">
        <v>452.7</v>
      </c>
    </row>
    <row r="51" spans="1:10" ht="18.75" x14ac:dyDescent="0.3">
      <c r="A51" s="10">
        <v>8505.4</v>
      </c>
      <c r="B51" s="15">
        <v>117392.36</v>
      </c>
      <c r="C51" s="5">
        <v>7514.45</v>
      </c>
      <c r="D51" s="8">
        <v>395.1</v>
      </c>
      <c r="E51" s="9">
        <v>19.399999999999999</v>
      </c>
      <c r="F51" s="19">
        <f t="shared" si="5"/>
        <v>52.699999999999989</v>
      </c>
      <c r="G51" s="7">
        <f t="shared" si="6"/>
        <v>114.90000000000003</v>
      </c>
      <c r="H51" s="13">
        <f t="shared" si="4"/>
        <v>167.60000000000002</v>
      </c>
      <c r="I51" s="1">
        <v>2021</v>
      </c>
      <c r="J51" s="14">
        <v>567.6</v>
      </c>
    </row>
    <row r="52" spans="1:10" ht="18.75" x14ac:dyDescent="0.3">
      <c r="A52" s="10">
        <v>8515</v>
      </c>
      <c r="B52" s="16">
        <v>122089.28</v>
      </c>
      <c r="C52" s="5">
        <v>7534.24</v>
      </c>
      <c r="D52" s="8">
        <v>476.1</v>
      </c>
      <c r="E52" s="9">
        <v>17.8</v>
      </c>
      <c r="F52" s="19">
        <f t="shared" si="5"/>
        <v>167.60000000000002</v>
      </c>
      <c r="G52" s="7">
        <f t="shared" si="6"/>
        <v>44.199999999999932</v>
      </c>
      <c r="H52" s="13">
        <f t="shared" si="4"/>
        <v>211.79999999999995</v>
      </c>
      <c r="I52" s="1">
        <v>2022</v>
      </c>
      <c r="J52" s="14">
        <v>611.79999999999995</v>
      </c>
    </row>
    <row r="53" spans="1:10" ht="18.75" x14ac:dyDescent="0.3">
      <c r="A53" s="10">
        <v>8526</v>
      </c>
      <c r="B53" s="16">
        <v>128222.16</v>
      </c>
      <c r="C53" s="5">
        <v>7589.96</v>
      </c>
      <c r="D53" s="8">
        <v>400.2</v>
      </c>
      <c r="E53" s="9">
        <v>17.7</v>
      </c>
      <c r="F53" s="19">
        <f t="shared" si="5"/>
        <v>211.79999999999995</v>
      </c>
      <c r="G53" s="7">
        <f t="shared" si="6"/>
        <v>-40.399999999999977</v>
      </c>
      <c r="H53" s="13">
        <f t="shared" si="4"/>
        <v>171.39999999999998</v>
      </c>
      <c r="I53" s="1">
        <v>2023</v>
      </c>
      <c r="J53" s="14">
        <v>571.4</v>
      </c>
    </row>
    <row r="114" spans="1:9" x14ac:dyDescent="0.2">
      <c r="A114" s="3" t="s">
        <v>4</v>
      </c>
      <c r="B114" s="2">
        <v>1</v>
      </c>
      <c r="C114" s="2">
        <v>2</v>
      </c>
      <c r="D114" s="2">
        <v>3</v>
      </c>
      <c r="E114" s="2">
        <v>4</v>
      </c>
      <c r="F114" s="2"/>
      <c r="G114" s="2"/>
      <c r="H114" s="2">
        <v>5</v>
      </c>
      <c r="I114" s="2">
        <v>9</v>
      </c>
    </row>
    <row r="115" spans="1:9" ht="28.5" x14ac:dyDescent="0.2">
      <c r="A115" s="3" t="s">
        <v>5</v>
      </c>
      <c r="B115" s="2" t="s">
        <v>0</v>
      </c>
      <c r="C115" s="2" t="s">
        <v>17</v>
      </c>
      <c r="D115" s="2" t="s">
        <v>21</v>
      </c>
      <c r="E115" s="2" t="s">
        <v>24</v>
      </c>
      <c r="F115" s="2"/>
      <c r="G115" s="2"/>
      <c r="H115" s="2" t="s">
        <v>27</v>
      </c>
      <c r="I115" s="2" t="s">
        <v>46</v>
      </c>
    </row>
    <row r="116" spans="1:9" x14ac:dyDescent="0.2">
      <c r="A116" s="3" t="s">
        <v>6</v>
      </c>
      <c r="B116" s="2" t="s">
        <v>12</v>
      </c>
      <c r="C116" s="2" t="s">
        <v>18</v>
      </c>
      <c r="D116" s="2" t="s">
        <v>22</v>
      </c>
      <c r="E116" s="2" t="s">
        <v>25</v>
      </c>
      <c r="F116" s="2"/>
      <c r="G116" s="2"/>
      <c r="H116" s="2" t="s">
        <v>28</v>
      </c>
      <c r="I116" s="2" t="s">
        <v>47</v>
      </c>
    </row>
    <row r="117" spans="1:9" x14ac:dyDescent="0.2">
      <c r="A117" s="3" t="s">
        <v>7</v>
      </c>
      <c r="B117" s="2" t="s">
        <v>1</v>
      </c>
      <c r="C117" s="2" t="s">
        <v>2</v>
      </c>
      <c r="D117" s="2" t="s">
        <v>2</v>
      </c>
      <c r="E117" s="2" t="s">
        <v>2</v>
      </c>
      <c r="F117" s="2"/>
      <c r="G117" s="2"/>
      <c r="H117" s="2" t="s">
        <v>29</v>
      </c>
      <c r="I117" s="2" t="s">
        <v>3</v>
      </c>
    </row>
    <row r="118" spans="1:9" x14ac:dyDescent="0.2">
      <c r="A118" s="3" t="s">
        <v>8</v>
      </c>
      <c r="B118" s="2" t="s">
        <v>13</v>
      </c>
      <c r="C118" s="2" t="s">
        <v>19</v>
      </c>
      <c r="D118" s="2" t="s">
        <v>13</v>
      </c>
      <c r="E118" s="2" t="s">
        <v>13</v>
      </c>
      <c r="F118" s="2"/>
      <c r="G118" s="2"/>
      <c r="H118" s="2" t="s">
        <v>30</v>
      </c>
      <c r="I118" s="2" t="s">
        <v>44</v>
      </c>
    </row>
    <row r="119" spans="1:9" ht="57" x14ac:dyDescent="0.2">
      <c r="A119" s="3" t="s">
        <v>9</v>
      </c>
      <c r="B119" s="2" t="s">
        <v>14</v>
      </c>
      <c r="C119" s="2" t="s">
        <v>20</v>
      </c>
      <c r="D119" s="2" t="s">
        <v>23</v>
      </c>
      <c r="E119" s="2" t="s">
        <v>26</v>
      </c>
      <c r="F119" s="2"/>
      <c r="G119" s="2"/>
      <c r="H119" s="2" t="s">
        <v>31</v>
      </c>
      <c r="I119" s="2" t="s">
        <v>48</v>
      </c>
    </row>
    <row r="120" spans="1:9" x14ac:dyDescent="0.2">
      <c r="A120" s="3" t="s">
        <v>10</v>
      </c>
      <c r="B120" s="2" t="s">
        <v>15</v>
      </c>
      <c r="C120" s="2" t="s">
        <v>15</v>
      </c>
      <c r="D120" s="2" t="s">
        <v>15</v>
      </c>
      <c r="E120" s="2" t="s">
        <v>15</v>
      </c>
      <c r="F120" s="2"/>
      <c r="G120" s="2"/>
      <c r="H120" s="2" t="s">
        <v>32</v>
      </c>
      <c r="I120" s="2" t="s">
        <v>32</v>
      </c>
    </row>
    <row r="121" spans="1:9" ht="28.5" x14ac:dyDescent="0.2">
      <c r="A121" s="3" t="s">
        <v>11</v>
      </c>
      <c r="B121" s="2" t="s">
        <v>16</v>
      </c>
      <c r="C121" s="2" t="s">
        <v>16</v>
      </c>
      <c r="D121" s="2" t="s">
        <v>16</v>
      </c>
      <c r="E121" s="2" t="s">
        <v>16</v>
      </c>
      <c r="F121" s="2"/>
      <c r="G121" s="2"/>
      <c r="H121" s="2" t="s">
        <v>33</v>
      </c>
      <c r="I121" s="2" t="s">
        <v>33</v>
      </c>
    </row>
    <row r="122" spans="1:9" x14ac:dyDescent="0.2">
      <c r="A122" s="2"/>
      <c r="B122" s="2"/>
      <c r="C122" s="2"/>
      <c r="D122" s="2"/>
      <c r="E122" s="2"/>
      <c r="F122" s="2"/>
      <c r="G122" s="2"/>
    </row>
    <row r="123" spans="1:9" x14ac:dyDescent="0.2">
      <c r="A123" s="2"/>
      <c r="B123" s="2"/>
      <c r="C123" s="2"/>
      <c r="D123" s="2"/>
      <c r="E123" s="2"/>
      <c r="F123" s="2"/>
      <c r="G123" s="2"/>
    </row>
    <row r="124" spans="1:9" x14ac:dyDescent="0.2">
      <c r="A124" s="3"/>
      <c r="B124" s="3"/>
      <c r="C124" s="3"/>
      <c r="D124" s="3"/>
      <c r="E124" s="3"/>
      <c r="F124" s="3"/>
      <c r="G124" s="3"/>
      <c r="H124" s="3"/>
    </row>
    <row r="125" spans="1:9" x14ac:dyDescent="0.2">
      <c r="A125" s="2"/>
      <c r="B125" s="2"/>
      <c r="C125" s="2"/>
      <c r="D125" s="2"/>
      <c r="E125" s="2"/>
      <c r="F125" s="2"/>
      <c r="G125" s="2"/>
      <c r="H125" s="2"/>
    </row>
    <row r="126" spans="1:9" x14ac:dyDescent="0.2">
      <c r="A126" s="3" t="s">
        <v>4</v>
      </c>
      <c r="B126" s="3" t="s">
        <v>5</v>
      </c>
      <c r="C126" s="3" t="s">
        <v>6</v>
      </c>
      <c r="D126" s="3" t="s">
        <v>7</v>
      </c>
      <c r="E126" s="3" t="s">
        <v>8</v>
      </c>
      <c r="F126" s="3"/>
      <c r="G126" s="3"/>
      <c r="H126" s="3" t="s">
        <v>9</v>
      </c>
    </row>
    <row r="127" spans="1:9" ht="42.75" x14ac:dyDescent="0.2">
      <c r="A127" s="2">
        <v>1</v>
      </c>
      <c r="B127" s="2" t="s">
        <v>0</v>
      </c>
      <c r="C127" s="2" t="s">
        <v>12</v>
      </c>
      <c r="D127" s="2" t="s">
        <v>1</v>
      </c>
      <c r="E127" s="2" t="s">
        <v>13</v>
      </c>
      <c r="F127" s="2"/>
      <c r="G127" s="2"/>
      <c r="H127" s="2" t="s">
        <v>14</v>
      </c>
    </row>
    <row r="128" spans="1:9" ht="42.75" x14ac:dyDescent="0.2">
      <c r="A128" s="2">
        <v>2</v>
      </c>
      <c r="B128" s="2" t="s">
        <v>17</v>
      </c>
      <c r="C128" s="2" t="s">
        <v>18</v>
      </c>
      <c r="D128" s="2" t="s">
        <v>2</v>
      </c>
      <c r="E128" s="2" t="s">
        <v>19</v>
      </c>
      <c r="F128" s="2"/>
      <c r="G128" s="2"/>
      <c r="H128" s="2" t="s">
        <v>20</v>
      </c>
    </row>
    <row r="129" spans="1:8" ht="42.75" x14ac:dyDescent="0.2">
      <c r="A129" s="2">
        <v>3</v>
      </c>
      <c r="B129" s="2" t="s">
        <v>21</v>
      </c>
      <c r="C129" s="2" t="s">
        <v>22</v>
      </c>
      <c r="D129" s="2" t="s">
        <v>2</v>
      </c>
      <c r="E129" s="2" t="s">
        <v>13</v>
      </c>
      <c r="F129" s="2"/>
      <c r="G129" s="2"/>
      <c r="H129" s="2" t="s">
        <v>23</v>
      </c>
    </row>
    <row r="130" spans="1:8" ht="42.75" x14ac:dyDescent="0.2">
      <c r="A130" s="2">
        <v>4</v>
      </c>
      <c r="B130" s="2" t="s">
        <v>24</v>
      </c>
      <c r="C130" s="2" t="s">
        <v>25</v>
      </c>
      <c r="D130" s="2" t="s">
        <v>2</v>
      </c>
      <c r="E130" s="2" t="s">
        <v>13</v>
      </c>
      <c r="F130" s="2"/>
      <c r="G130" s="2"/>
      <c r="H130" s="2" t="s">
        <v>26</v>
      </c>
    </row>
    <row r="131" spans="1:8" ht="28.5" x14ac:dyDescent="0.2">
      <c r="A131" s="2">
        <v>5</v>
      </c>
      <c r="B131" s="2" t="s">
        <v>27</v>
      </c>
      <c r="C131" s="2" t="s">
        <v>28</v>
      </c>
      <c r="D131" s="2" t="s">
        <v>29</v>
      </c>
      <c r="E131" s="2" t="s">
        <v>30</v>
      </c>
      <c r="F131" s="2"/>
      <c r="G131" s="2"/>
      <c r="H131" s="2" t="s">
        <v>31</v>
      </c>
    </row>
    <row r="132" spans="1:8" ht="28.5" x14ac:dyDescent="0.2">
      <c r="A132" s="2">
        <v>6</v>
      </c>
      <c r="B132" s="2" t="s">
        <v>34</v>
      </c>
      <c r="C132" s="2" t="s">
        <v>35</v>
      </c>
      <c r="D132" s="2" t="s">
        <v>29</v>
      </c>
      <c r="E132" s="2" t="s">
        <v>30</v>
      </c>
      <c r="F132" s="2"/>
      <c r="G132" s="2"/>
      <c r="H132" s="2" t="s">
        <v>36</v>
      </c>
    </row>
    <row r="133" spans="1:8" ht="42.75" x14ac:dyDescent="0.2">
      <c r="A133" s="2">
        <v>7</v>
      </c>
      <c r="B133" s="2" t="s">
        <v>37</v>
      </c>
      <c r="C133" s="2" t="s">
        <v>38</v>
      </c>
      <c r="D133" s="2" t="s">
        <v>39</v>
      </c>
      <c r="E133" s="2" t="s">
        <v>13</v>
      </c>
      <c r="F133" s="2"/>
      <c r="G133" s="2"/>
      <c r="H133" s="2" t="s">
        <v>40</v>
      </c>
    </row>
    <row r="134" spans="1:8" ht="28.5" x14ac:dyDescent="0.2">
      <c r="A134" s="2">
        <v>8</v>
      </c>
      <c r="B134" s="2" t="s">
        <v>41</v>
      </c>
      <c r="C134" s="2" t="s">
        <v>42</v>
      </c>
      <c r="D134" s="2" t="s">
        <v>43</v>
      </c>
      <c r="E134" s="2" t="s">
        <v>44</v>
      </c>
      <c r="F134" s="2"/>
      <c r="G134" s="2"/>
      <c r="H134" s="2" t="s">
        <v>45</v>
      </c>
    </row>
    <row r="135" spans="1:8" ht="28.5" x14ac:dyDescent="0.2">
      <c r="A135" s="2">
        <v>9</v>
      </c>
      <c r="B135" s="2" t="s">
        <v>46</v>
      </c>
      <c r="C135" s="2" t="s">
        <v>47</v>
      </c>
      <c r="D135" s="2" t="s">
        <v>3</v>
      </c>
      <c r="E135" s="2" t="s">
        <v>44</v>
      </c>
      <c r="F135" s="2"/>
      <c r="G135" s="2"/>
      <c r="H135" s="2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2025-12-27T21:15:55Z</dcterms:modified>
</cp:coreProperties>
</file>