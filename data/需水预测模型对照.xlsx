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ms-excel.featurepropertybag+xml" PartName="/xl/featurePropertyBag/featurePropertyBag.xml"/>
  <Override ContentType="application/vnd.openxmlformats-officedocument.spreadsheetml.sharedStrings+xml" PartName="/xl/sharedStrings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sheet.main+xml" PartName="/xl/workbook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</Types>
</file>

<file path=_rels/.rels><?xml version="1.0" encoding="UTF-8"?><Relationships xmlns="http://schemas.openxmlformats.org/package/2006/relationships"><Relationship Target="/xl/workbook.xml" Type="http://schemas.openxmlformats.org/officeDocument/2006/relationships/officeDocument" Id="Rc4c3420c404543bd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x="http://schemas.openxmlformats.org/spreadsheetml/2006/main">
  <sheets>
    <sheet name="方法比较" sheetId="1" r:id="R25be0b81151043ca"/>
    <sheet name="时间检验逐年值" sheetId="2" r:id="Rf47d9cde2f124139"/>
    <sheet name="主模型_效率保持" sheetId="3" r:id="Re9c6bbdae43f443e"/>
    <sheet name="主模型_历史趋势" sheetId="4" r:id="R13f8050a50c04385"/>
    <sheet name="主模型_规划约束" sheetId="5" r:id="R3d27d995b6d74bfd"/>
    <sheet name="各模型未来预测" sheetId="6" r:id="R1fe09d1a903b4f50"/>
    <sheet name="方向检查" sheetId="7" r:id="R49fd959dba5f4df8"/>
    <sheet name="参数选择记录" sheetId="8" r:id="R1c5d239747914b30"/>
    <sheet name="主模型贡献分解" sheetId="9" r:id="Rd7262e07c5014193"/>
    <sheet name="方法与结论" sheetId="10" r:id="R502d93a541d44a78"/>
    <sheet name="历史数据" sheetId="11" r:id="R07d7f8d16ea84878"/>
    <sheet name="未来指标" sheetId="12" r:id="Rab9d2fd6a883448d"/>
    <sheet name="分市工业增加值" sheetId="13" r:id="R74c0f008828242b4"/>
    <sheet name="模型设置" sheetId="14" r:id="Rd10b977d19b540cd"/>
    <sheet name="口径与政策依据" sheetId="15" r:id="Rb701e1eff08b4944"/>
    <sheet name="节水路径输入" sheetId="16" r:id="rId465519"/>
    <sheet name="生活用水_暂用" sheetId="17" r:id="rId465520"/>
    <sheet name="分行业用水_重构" sheetId="18" r:id="rId465521"/>
  </sheets>
  <calcPr calcId="125725" fullCalcOnLoad="true"/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<sst xmlns="http://schemas.openxmlformats.org/spreadsheetml/2006/main" xmlns:r="http://schemas.openxmlformats.org/officeDocument/2006/relationships" xmlns:xdr="http://schemas.openxmlformats.org/drawingml/2006/spreadsheetDrawing" count="1418" uniqueCount="259">
  <si>
    <t>参数</t>
  </si>
  <si>
    <t>members</t>
  </si>
  <si>
    <t>hidden</t>
  </si>
  <si>
    <t>pso_population</t>
  </si>
  <si>
    <t>pso_generations</t>
  </si>
  <si>
    <t>ridge_penalty</t>
  </si>
  <si>
    <t>seed</t>
  </si>
  <si>
    <t>train_end</t>
  </si>
  <si>
    <t>base_year</t>
  </si>
  <si>
    <t>policy_target_year</t>
  </si>
  <si>
    <t>sensitivity_fraction</t>
  </si>
  <si>
    <t>workers</t>
  </si>
  <si>
    <t>policy_mode</t>
  </si>
  <si>
    <t>irrigation_base</t>
  </si>
  <si>
    <t>irrigation_target</t>
  </si>
  <si>
    <t>industrial_target_2000</t>
  </si>
  <si>
    <t>industrial_price_factor</t>
  </si>
  <si>
    <t>provincial_water_limit</t>
  </si>
  <si>
    <t>数值</t>
  </si>
  <si>
    <t>jiangsu-2012</t>
  </si>
  <si>
    <t>含义</t>
  </si>
  <si>
    <t>固定样本多次初始化成员数</t>
  </si>
  <si>
    <t>3输入、4隐节点、1输出</t>
  </si>
  <si>
    <t>PSO种群</t>
  </si>
  <si>
    <t>PSO代数</t>
  </si>
  <si>
    <t>非负网络连接权重L2惩罚；研究设置</t>
  </si>
  <si>
    <t>可重复随机种子</t>
  </si>
  <si>
    <t>固定起点检验训练截止年</t>
  </si>
  <si>
    <t>未来共同基期</t>
  </si>
  <si>
    <t>工业参考目标达标年</t>
  </si>
  <si>
    <t>农业衰减速度上下浮动20%，研究敏感性设定</t>
  </si>
  <si>
    <t>并行工作进程数</t>
  </si>
  <si>
    <t>事项</t>
  </si>
  <si>
    <t>农业面积</t>
  </si>
  <si>
    <t>工业规模</t>
  </si>
  <si>
    <t>工业价格</t>
  </si>
  <si>
    <t>工业强度估计</t>
  </si>
  <si>
    <t>未来强度</t>
  </si>
  <si>
    <t>受水区约束</t>
  </si>
  <si>
    <t>差值含义</t>
  </si>
  <si>
    <t>生活效率</t>
  </si>
  <si>
    <t>集成与验证</t>
  </si>
  <si>
    <t>网络约束</t>
  </si>
  <si>
    <t>预测范围</t>
  </si>
  <si>
    <t>工业火电口径</t>
  </si>
  <si>
    <t>历史目标含义</t>
  </si>
  <si>
    <t>江苏2030政策参考</t>
  </si>
  <si>
    <t>农业效率参考路径</t>
  </si>
  <si>
    <t>工业价格桥</t>
  </si>
  <si>
    <t>省级总量边界</t>
  </si>
  <si>
    <t>三套对照</t>
  </si>
  <si>
    <t>节水路径输入</t>
  </si>
  <si>
    <t>依据或处理</t>
  </si>
  <si>
    <t>按用户确定的简化假设，以农作物播种面积作为灌溉面积代理</t>
  </si>
  <si>
    <t>使用全部工业增加值，保留第二产业及三产业原值</t>
  </si>
  <si>
    <t>Y_real=Y_nominal/d；I_real=I_nominal*d，二者乘积与现价乘积一致</t>
  </si>
  <si>
    <t>2018、2019、2021、2022、2023为用户选定比例估算值13.3、12.6、7.5、6.9、6.9</t>
  </si>
  <si>
    <t>农业、工业均以2023实际/估算强度锚定；工业先统一价格后重新拟合指数速度</t>
  </si>
  <si>
    <t>2030年受水区水效指标优于国内同类地区平均水平</t>
  </si>
  <si>
    <t>发展变化与节水抵消量为同一模型内的反事实情景差值</t>
  </si>
  <si>
    <t>仅以人口与城镇化构造生活驱动，沿用人口×(1+城镇化率)的代理</t>
  </si>
  <si>
    <t>固定历史样本，多次初始化，等权平均，无Bootstrap、无验证标签筛选加权</t>
  </si>
  <si>
    <t>隐层与输出层连接权重非负；PSO初值＋反向传播Jacobian有界最小二乘训练</t>
  </si>
  <si>
    <t>仅预测苏北五市区域合计，不输出未经部门数据验证的分市或部门实际用水量</t>
  </si>
  <si>
    <t>早期公报部分为不含火电，后期存在含火电考核折算或说明不充分；估算值沿用用户选定序列</t>
  </si>
  <si>
    <t>沿用历史公报苏北总用水量作为总需水量代理</t>
  </si>
  <si>
    <t>苏政发〔2012〕27号：全省600亿m3以内；工业2000价、不含火电低于11；灌溉效率0.69以上</t>
  </si>
  <si>
    <t>2023省级0.622线性提高至2030年0.69；m_cap=m_2023*0.622/eta(t)</t>
  </si>
  <si>
    <t>D_2023/2000=名义工业VA2023/(名义工业VA2000*逐年实际工业指数连乘)</t>
  </si>
  <si>
    <t>600亿m3仅作省级政策背景，不对苏北结果截断</t>
  </si>
  <si>
    <t>保持2023强度；延续历史趋势；江苏政策参考约束</t>
  </si>
  <si>
    <t>105行，5SSP*3路径*7年，由模型设置和未来指标生成</t>
  </si>
  <si>
    <t>适用边界</t>
  </si>
  <si>
    <t>不是实测有效灌溉面积；乘积作为模型农业驱动，不解释为实际农业用水量</t>
  </si>
  <si>
    <t>工业含电力、热力等；历史逐年年鉴发布版本存在修订差异</t>
  </si>
  <si>
    <t>d为江苏省GDP平减指数代理，2023=1；不是行业专用平减指数</t>
  </si>
  <si>
    <t>这些数值不是公报直接公布的苏北工业强度；本次保留原值</t>
  </si>
  <si>
    <t>SSP1/5速度系数1.2，SSP2/4为1，SSP3为0.8，沿用既定研究假设</t>
  </si>
  <si>
    <t>待同类地区同口径基准补齐后对标，不捏造数值</t>
  </si>
  <si>
    <t>不是因果政策效果；农业/工业效率贡献不是实测部门用水量</t>
  </si>
  <si>
    <t>没有可核实生活节水路径，不另声称生活部门节水量</t>
  </si>
  <si>
    <t>2020—2023按时间留出；给定实际驱动的条件回测，不是全部上游预测误差</t>
  </si>
  <si>
    <t>保证相同发展规模下降低用水强度不会增加预测总需水量</t>
  </si>
  <si>
    <t>初始化离散范围不称为95%预测区间</t>
  </si>
  <si>
    <t>此序列不是已统一火电口径的实测序列；作为模型工业强度代理，不能认定真实部门用水或正式政策考核达标</t>
  </si>
  <si>
    <t>不将统计总用水等同未经供水约束的潜在需求；本次未改动原历史目标</t>
  </si>
  <si>
    <t>按用户指定政策进行研究情景映射；不是苏北正式分解指标，未认定后续承接状态</t>
  </si>
  <si>
    <t>省级效率代理苏北；净亩均灌溉需求不变；与历史强度取小值，避免重复压减</t>
  </si>
  <si>
    <t>省级全部工业隐含平减代理；2030强度上限2023价代理=11/D；火电仍未统一，不能认证达标</t>
  </si>
  <si>
    <t>缺少苏北配额及其他地区预测，不能由苏北预测判定全省达标</t>
  </si>
  <si>
    <t>发展规模各SSP相同；只改变农业、工业强度；政策强度取趋势与参考上限较小值</t>
  </si>
  <si>
    <t>派生输入快照；修改基础参数后运行本同步程序或主程序重新生成</t>
  </si>
  <si>
    <t>来源</t>
  </si>
  <si>
    <t>用户2026-10-24确认</t>
  </si>
  <si>
    <t>https://tj.jiangsu.gov.cn/2024/nj02/nj0208.htm</t>
  </si>
  <si>
    <t>现有C_D输入价格口径表</t>
  </si>
  <si>
    <t>历史工业强度输入</t>
  </si>
  <si>
    <t>历史数据估计；情景倍数为研究假设</t>
  </si>
  <si>
    <t>https://slt.nx.gov.cn/xxgk_281/fdzdgknr/wjk/slbwj/202603/t20260302_5181846.html</t>
  </si>
  <si>
    <t>本研究模型输出</t>
  </si>
  <si>
    <t>既有需水模型特征定义</t>
  </si>
  <si>
    <t>本程序</t>
  </si>
  <si>
    <t>本研究结构约束</t>
  </si>
  <si>
    <t>历年公报核查记录，用户2026-10-24确认保留估算序列</t>
  </si>
  <si>
    <t>原数据集_苏北.xlsx</t>
  </si>
  <si>
    <t>https://www.jiangsu.gov.cn/art/2012/3/15/art_46757_2680159.html</t>
  </si>
  <si>
    <t>https://jswater.jiangsu.gov.cn/module/download/downfile.jsp?classid=0&amp;filename=4fe2b40b2dc24027a9c29e6f3628eeec.pdf</t>
  </si>
  <si>
    <t>https://tj.jiangsu.gov.cn/2024/nj02/nj0201.htm ; https://tj.jiangsu.gov.cn/2024/nj02/nj0204.htm</t>
  </si>
  <si>
    <t>本研究路径设计</t>
  </si>
  <si>
    <t>共享water_suite_data.m</t>
  </si>
  <si>
    <t>适用年份</t>
  </si>
  <si>
    <t>全部年份</t>
  </si>
  <si>
    <t>2010—2030</t>
  </si>
  <si>
    <t>2010—2023</t>
  </si>
  <si>
    <t>2024—2030</t>
  </si>
  <si>
    <t>2030</t>
  </si>
  <si>
    <t>2020—2023</t>
  </si>
  <si>
    <t>全部情景</t>
  </si>
  <si>
    <t>情景</t>
  </si>
  <si>
    <t>SSP1</t>
  </si>
  <si>
    <t>SSP2</t>
  </si>
  <si>
    <t>SSP3</t>
  </si>
  <si>
    <t>SSP4</t>
  </si>
  <si>
    <t>SSP5</t>
  </si>
  <si>
    <t>路径</t>
  </si>
  <si>
    <t>效率保持</t>
  </si>
  <si>
    <t>历史趋势</t>
  </si>
  <si>
    <t>规划约束</t>
  </si>
  <si>
    <t>年份</t>
  </si>
  <si>
    <t>播种灌溉面积代理_千公顷</t>
  </si>
  <si>
    <t>亩均灌溉强度_m3每亩</t>
  </si>
  <si>
    <t>工业增加值_亿元2023价代理</t>
  </si>
  <si>
    <t>工业强度_m3每万元2023价代理</t>
  </si>
  <si>
    <t>农业驱动</t>
  </si>
  <si>
    <t>工业驱动</t>
  </si>
  <si>
    <t>人口城镇化驱动</t>
  </si>
  <si>
    <t>政策效率参考值</t>
  </si>
  <si>
    <t>综合生活用水总量_亿m3</t>
  </si>
  <si>
    <t>同年常住人口_万人</t>
  </si>
  <si>
    <t>人均综合生活用水_m3每人年</t>
  </si>
  <si>
    <t>人均综合生活用水_L每人日</t>
  </si>
  <si>
    <t>数据来源</t>
  </si>
  <si>
    <t>用户提供截图 codex-clipboard-28b7a0b8-0d59-4243-9492-91e25deafec8.png</t>
  </si>
  <si>
    <t>口径状态</t>
  </si>
  <si>
    <t>用户确认暂用；城乡居民及公共用途边界尚未逐年核实；人口沿用现有同年常住人口；日均按365日折算</t>
  </si>
  <si>
    <t>综合生活用水暂用数据</t>
  </si>
  <si>
    <t>生活驱动接入状态</t>
  </si>
  <si>
    <t>2010—2023年采用用户截图生活总量；q=W*1e7/(365*N)，W亿m3，N万人</t>
  </si>
  <si>
    <t>本次录入并计算人均综合生活强度，保留当前人口城镇化代理</t>
  </si>
  <si>
    <t>非公报逐年核实序列；最后一列193.6等原人均数据未采用；不直接套用居民150/130定额</t>
  </si>
  <si>
    <t>本次未设定2024—2030生活强度路径，未替换训练特征；需重新构造并回测后才可更新主预测</t>
  </si>
  <si>
    <t>用户2026-10-27确认先采用生活总量</t>
  </si>
  <si>
    <t>总量（亿m³）</t>
  </si>
  <si>
    <t>农业估计（亿m³）</t>
  </si>
  <si>
    <t>工业估计（亿m³）</t>
  </si>
  <si>
    <t>生活估计（亿m³）</t>
  </si>
  <si>
    <t>生态估计（亿m³）</t>
  </si>
  <si>
    <t>分项合计</t>
  </si>
  <si>
    <t>配平差额</t>
  </si>
  <si>
    <t>农业占比</t>
  </si>
  <si>
    <t>工业占比</t>
  </si>
  <si>
    <t>生活占比</t>
  </si>
  <si>
    <t>生态占比</t>
  </si>
  <si>
    <t>分项估计方法</t>
  </si>
  <si>
    <t>五市三类柱段数字化；生态占比借用同年全省</t>
  </si>
  <si>
    <t>无分市图：2017—2020地区偏离系数对数插补×当年全省占比</t>
  </si>
  <si>
    <t>无分市图：2020—2022地区偏离系数对数插补×当年全省占比</t>
  </si>
  <si>
    <t>五市四类柱段数字化＋总量约束</t>
  </si>
  <si>
    <t>无分市图：延用2022地区偏离系数×当年全省占比</t>
  </si>
  <si>
    <t>总量来源状态</t>
  </si>
  <si>
    <t>公报苏北总量</t>
  </si>
  <si>
    <t>沿用现有总量，公报直接值未核实</t>
  </si>
  <si>
    <t>F:\大论文\第三章 需水预测\官方数据\水资源公报\苏北分行业用水量_估计重构_20261027.xlsx</t>
  </si>
  <si>
    <t>公报柱图数字化与省级占比约束重构估计，非公报直接观测；城乡及公共用途边界未完全统一；暂不作为训练目标</t>
  </si>
  <si>
    <t>分行业重构估计</t>
  </si>
  <si>
    <t>结果待重算</t>
  </si>
  <si>
    <t>2026-10-27替换截图暂用列，使用分行业重构的生活估计；原截图数值保留在独立重构工作簿</t>
  </si>
  <si>
    <t>人口城镇化代理仍保持现有模型设定；本次不替换训练特征、不重跑预测</t>
  </si>
  <si>
    <t>三类图：生态借用省级占比，其余按图示相对比例；2022四类均读图；无图年份插补地区偏离系数</t>
  </si>
  <si>
    <t>历史总需水量2022已从164.3改为194.3；原有预测结果和模型误差尚未重新计算</t>
  </si>
  <si>
    <t>当前人均综合生活强度由重构生活总量和历史人口计算</t>
  </si>
  <si>
    <t>所有行业合计与两位小数年度总量一致；2018、2019总量仍待核实</t>
  </si>
  <si>
    <t>本次仅更新分行业估计与暂用生活序列</t>
  </si>
  <si>
    <t>非公报直接生活用水观测</t>
  </si>
  <si>
    <t>图示生活分类与居民生活分类存在差异</t>
  </si>
  <si>
    <t>不得把配平估计称为公报实测原值</t>
  </si>
  <si>
    <t>frozen_start_year</t>
  </si>
  <si>
    <t>frozen_end_year</t>
  </si>
  <si>
    <t>regional_water_limit</t>
  </si>
  <si>
    <t>regional_share_base_year</t>
  </si>
  <si>
    <t>regional_share_numerator</t>
  </si>
  <si>
    <t>regional_share_denominator</t>
  </si>
  <si>
    <t>living_policy_enabled</t>
  </si>
  <si>
    <t>近期平均效率对照起始年</t>
  </si>
  <si>
    <t>近期平均效率对照终止年</t>
  </si>
  <si>
    <t>2030苏北参考上限，2023年用水份额折算，仅检查不截断</t>
  </si>
  <si>
    <t>折算基准年</t>
  </si>
  <si>
    <t>2023苏北总用水量，亿m3</t>
  </si>
  <si>
    <t>2023江苏总用水量，亿m3</t>
  </si>
  <si>
    <t>生活不设额外政策约束，维持人口城镇化代理</t>
  </si>
  <si>
    <t>近期效率维持对照</t>
  </si>
  <si>
    <t>苏北2030折算上限</t>
  </si>
  <si>
    <t>三路径生活处理</t>
  </si>
  <si>
    <t>结果重算设置</t>
  </si>
  <si>
    <t>2021—2023农业强度平均384.174470952；2023价工业强度平均7.101571887</t>
  </si>
  <si>
    <t>600×165/571.4=173.258662933亿m3</t>
  </si>
  <si>
    <t>生活不设额外政策约束；继续人口×(1+城镇化率)代理</t>
  </si>
  <si>
    <t>历史2022总量194.3；当前正则PSO-BP按原时间划分重新训练和回测</t>
  </si>
  <si>
    <t>固定平均效率是研究对照，不表示近三年实际效率不变；未来规模仍按SSP变化</t>
  </si>
  <si>
    <t>仅2030终点校核，非正式分配配额，不截断预测，不用于反推生活强度</t>
  </si>
  <si>
    <t>重构分行业量保留作估计参考，不直接替换三个训练驱动</t>
  </si>
  <si>
    <t>保持模型类型及候选不变，不因新回测结果改选模型</t>
  </si>
  <si>
    <t>历史数据</t>
  </si>
  <si>
    <t>苏政发〔2012〕27号；用户指定省级数据表</t>
  </si>
  <si>
    <t>用户2026-10-27确认</t>
  </si>
  <si>
    <t>本次重算</t>
  </si>
  <si>
    <t>实际用水量</t>
  </si>
  <si>
    <t>固定起点预测</t>
  </si>
  <si>
    <t>滚动预测</t>
  </si>
  <si>
    <t>近期平均效率维持</t>
  </si>
  <si>
    <t>历史趋势延续</t>
  </si>
  <si>
    <t>政策规划参考</t>
  </si>
  <si>
    <t>发展变化_剔除效率基准差异</t>
  </si>
  <si>
    <t>效率基准差异</t>
  </si>
  <si>
    <t>历史趋势节水</t>
  </si>
  <si>
    <t>额外政策节水</t>
  </si>
  <si>
    <t>合计节水</t>
  </si>
  <si>
    <t>政策相对2023净变化</t>
  </si>
  <si>
    <t>节水抵消发展比例</t>
  </si>
  <si>
    <t>2030总量参考上限</t>
  </si>
  <si>
    <t>政策超参考上限</t>
  </si>
  <si>
    <t>项目</t>
  </si>
  <si>
    <t>预测模型</t>
  </si>
  <si>
    <t>2022历史目标</t>
  </si>
  <si>
    <t>近期效率对照</t>
  </si>
  <si>
    <t>农业政策参考</t>
  </si>
  <si>
    <t>工业政策参考</t>
  </si>
  <si>
    <t>生活政策</t>
  </si>
  <si>
    <t>总量参考</t>
  </si>
  <si>
    <t>分解恒等式</t>
  </si>
  <si>
    <t>回测性质</t>
  </si>
  <si>
    <t>其他方法结果</t>
  </si>
  <si>
    <t>数据限制</t>
  </si>
  <si>
    <t>设置与含义</t>
  </si>
  <si>
    <t>原3-1-1正则PSO-BP、12成员；按纠正后历史目标重新训练；不因回测结果再改模型</t>
  </si>
  <si>
    <t>194.3亿m3</t>
  </si>
  <si>
    <t>2021—2023农业与工业2023价强度均值；不声称实际效率不变</t>
  </si>
  <si>
    <t>省级eta2023=0.622线性至2030=0.69；亩均参考上限=m2023×eta2023/eta(t)，与趋势取小值</t>
  </si>
  <si>
    <t>2000不变价、不含火电11；省级价格桥换算后与趋势取小值；现有火电与价格代理边界未完全统一，不认证正式达标</t>
  </si>
  <si>
    <t>不额外设约束；沿用人口城镇化代理，无新增生活强度特征</t>
  </si>
  <si>
    <t>600×165/571.4=173.258662933亿m3；研究折算而非正式苏北配额，仅2030检查，不截断</t>
  </si>
  <si>
    <t>近期均值效率下的2023反事实预测165.055297243，相对2023实际差0.055297243；独立输出以免计入发展效应</t>
  </si>
  <si>
    <t>政策净变化=发展变化+效率基准差异−历史节水−额外政策节水；均为模型条件差异，不是政策因果效应</t>
  </si>
  <si>
    <t>固定2010—2019预测2020—2023；逐年滚动；均为已用于开发的历史回测</t>
  </si>
  <si>
    <t>本轮仅重跑当前PSO-BP；原其他方法排名与旧误差未同步重算，不能据其继续宣称主模型最优</t>
  </si>
  <si>
    <t>分行业重构量是估计参考，未替换训练驱动；面积为播种代理；工业火电口径未完全统一</t>
  </si>
  <si>
    <t>3-1-1正则BP、12成员；随机小初值直接局部训练，无PSO；其他训练设置沿用配对检验版本</t>
  </si>
  <si>
    <t>近期均值效率下的2023反事实预测165.055297276，相对2023实际差0.055297276；独立输出以免计入发展效应</t>
  </si>
  <si>
    <t>本轮仅重跑当前正则BP集成；原其他方法排名与旧误差未同步重算，不能据其继续宣称主模型最优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</si>
</sst>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2">
    <numFmt numFmtId="200" formatCode="0.0000"/>
    <numFmt numFmtId="201" formatCode="0"/>
  </numFmts>
  <fonts count="3">
    <font>
      <sz val="11"/>
      <name val="Carlito"/>
    </font>
    <font>
      <sz val="11"/>
      <name val="宋体"/>
    </font>
    <font>
      <b/>
      <sz val="11"/>
      <color rgb="FFFFFFFF"/>
      <name val="宋体"/>
    </font>
  </fonts>
  <fills count="3">
    <fill>
      <patternFill patternType="none"/>
    </fill>
    <fill>
      <patternFill patternType="gray125"/>
    </fill>
    <fill>
      <patternFill patternType="solid">
        <fgColor rgb="FF284B63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14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xmlns:xfpb="http://schemas.microsoft.com/office/spreadsheetml/2022/featurepropertybag" i="0"/>
        </ext>
      </extLst>
    </xf>
    <xf numFmtId="0" fontId="1" fillId="0" borderId="0" xfId="0" applyNumberFormat="true" applyFont="true" applyFill="true" applyBorder="true"/>
    <xf numFmtId="0" fontId="1" fillId="0" borderId="0" xfId="0" applyNumberFormat="true" applyFont="true" applyFill="true" applyBorder="true">
      <extLst>
        <ext xmlns:xfpb="http://schemas.microsoft.com/office/spreadsheetml/2022/featurepropertybag" uri="{C7286773-470A-42A8-94C5-96B5CB345126}">
          <xfpb:xfComplement xmlns:xfpb="http://schemas.microsoft.com/office/spreadsheetml/2022/featurepropertybag" i="0"/>
        </ext>
      </extLst>
    </xf>
    <xf numFmtId="0" fontId="1" fillId="2" borderId="0" xfId="0" applyNumberFormat="true" applyFont="true" applyFill="true" applyBorder="true"/>
    <xf numFmtId="0" fontId="2" fillId="2" borderId="0" xfId="0" applyNumberFormat="true" applyFont="true" applyFill="true" applyBorder="true"/>
    <xf numFmtId="0" fontId="2" fillId="2" borderId="0" xfId="0" applyNumberFormat="true" applyFont="true" applyFill="true" applyBorder="true" applyAlignment="true">
      <alignment wrapText="true"/>
    </xf>
    <xf numFmtId="0" fontId="2" fillId="2" borderId="0" xfId="0" applyNumberFormat="true" applyFont="true" applyFill="true" applyBorder="true" applyAlignment="true">
      <alignment horizontal="center" wrapText="true"/>
    </xf>
    <xf numFmtId="0" fontId="2" fillId="2" borderId="0" xfId="0" applyNumberFormat="true" applyFont="true" applyFill="true" applyBorder="true" applyAlignment="true">
      <alignment horizontal="center" vertical="center" wrapText="true"/>
    </xf>
    <xf numFmtId="200" fontId="1" fillId="0" borderId="0" xfId="0" applyNumberFormat="true" applyFont="true" applyFill="true" applyBorder="true"/>
    <xf numFmtId="201" fontId="1" fillId="0" borderId="0" xfId="0" applyNumberFormat="true" applyFont="true" applyFill="true" applyBorder="true"/>
    <xf numFmtId="200" fontId="1" fillId="0" borderId="0" xfId="0" applyNumberFormat="true" applyFont="true" applyFill="true" applyBorder="true" applyAlignment="true">
      <alignment wrapText="true"/>
    </xf>
    <xf numFmtId="0" fontId="1" fillId="0" borderId="0" xfId="0" applyNumberFormat="true" applyFont="true" applyFill="true" applyBorder="true" applyAlignment="true">
      <alignment wrapText="true"/>
    </xf>
    <xf numFmtId="22" fontId="0" fillId="0" borderId="1" xfId="0" applyNumberFormat="true"/>
  </cellXfs>
  <cellStyles count="1">
    <cellStyle name="Normal" xfId="0"/>
  </cellStyles>
</styleSheet>
</file>

<file path=xl/_rels/workbook.xml.rels><?xml version="1.0" encoding="UTF-8"?><Relationships xmlns="http://schemas.openxmlformats.org/package/2006/relationships"><Relationship Target="/xl/styles.xml" Type="http://schemas.openxmlformats.org/officeDocument/2006/relationships/styles" Id="R4e17b13f944b4a4b"/><Relationship Target="/xl/theme/theme1.xml" Type="http://schemas.openxmlformats.org/officeDocument/2006/relationships/theme" Id="R4f465518c51c4c21"/><Relationship Target="/xl/featurePropertyBag/featurePropertyBag.xml" Type="http://schemas.microsoft.com/office/2022/11/relationships/FeaturePropertyBag" Id="Rec67a70a9bbb48eb"/><Relationship Target="/xl/sharedStrings.xml" Type="http://schemas.openxmlformats.org/officeDocument/2006/relationships/sharedStrings" Id="R74ce40ed9d074b3d"/><Relationship Target="/xl/worksheets/sheet1.xml" Type="http://schemas.openxmlformats.org/officeDocument/2006/relationships/worksheet" Id="R25be0b81151043ca"/><Relationship Target="/xl/worksheets/sheet2.xml" Type="http://schemas.openxmlformats.org/officeDocument/2006/relationships/worksheet" Id="Rf47d9cde2f124139"/><Relationship Target="/xl/worksheets/sheet3.xml" Type="http://schemas.openxmlformats.org/officeDocument/2006/relationships/worksheet" Id="Re9c6bbdae43f443e"/><Relationship Target="/xl/worksheets/sheet4.xml" Type="http://schemas.openxmlformats.org/officeDocument/2006/relationships/worksheet" Id="R13f8050a50c04385"/><Relationship Target="/xl/worksheets/sheet5.xml" Type="http://schemas.openxmlformats.org/officeDocument/2006/relationships/worksheet" Id="R3d27d995b6d74bfd"/><Relationship Target="/xl/worksheets/sheet6.xml" Type="http://schemas.openxmlformats.org/officeDocument/2006/relationships/worksheet" Id="R1fe09d1a903b4f50"/><Relationship Target="/xl/worksheets/sheet7.xml" Type="http://schemas.openxmlformats.org/officeDocument/2006/relationships/worksheet" Id="R49fd959dba5f4df8"/><Relationship Target="/xl/worksheets/sheet8.xml" Type="http://schemas.openxmlformats.org/officeDocument/2006/relationships/worksheet" Id="R1c5d239747914b30"/><Relationship Target="/xl/worksheets/sheet9.xml" Type="http://schemas.openxmlformats.org/officeDocument/2006/relationships/worksheet" Id="Rd7262e07c5014193"/><Relationship Target="/xl/worksheets/sheet10.xml" Type="http://schemas.openxmlformats.org/officeDocument/2006/relationships/worksheet" Id="R502d93a541d44a78"/><Relationship Target="/xl/worksheets/sheet11.xml" Type="http://schemas.openxmlformats.org/officeDocument/2006/relationships/worksheet" Id="R07d7f8d16ea84878"/><Relationship Target="/xl/worksheets/sheet12.xml" Type="http://schemas.openxmlformats.org/officeDocument/2006/relationships/worksheet" Id="Rab9d2fd6a883448d"/><Relationship Target="/xl/worksheets/sheet13.xml" Type="http://schemas.openxmlformats.org/officeDocument/2006/relationships/worksheet" Id="R74c0f008828242b4"/><Relationship Target="/xl/worksheets/sheet14.xml" Type="http://schemas.openxmlformats.org/officeDocument/2006/relationships/worksheet" Id="Rd10b977d19b540cd"/><Relationship Target="/xl/worksheets/sheet15.xml" Type="http://schemas.openxmlformats.org/officeDocument/2006/relationships/worksheet" Id="Rb701e1eff08b4944"/><Relationship Target="worksheets/sheet16.xml" Type="http://schemas.openxmlformats.org/officeDocument/2006/relationships/worksheet" Id="rId465519"/><Relationship Target="worksheets/sheet17.xml" Type="http://schemas.openxmlformats.org/officeDocument/2006/relationships/worksheet" Id="rId465520"/><Relationship Target="worksheets/sheet18.xml" Type="http://schemas.openxmlformats.org/officeDocument/2006/relationships/worksheet" Id="rId465521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r="http://schemas.openxmlformats.org/officeDocument/2006/relationships"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false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false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="http://schemas.openxmlformats.org/spreadsheetml/2006/main" xmlns:mc="http://schemas.openxmlformats.org/markup-compatibility/2006" xmlns:x14ac="http://schemas.microsoft.com/office/spreadsheetml/2009/9/ac" mc:Ignorable="x14ac">
  <dimension ref="A1:L5"/>
  <sheetViews>
    <sheetView showGridLines="false" workbookViewId="0">
      <pane ySplit="1" topLeftCell="A2" activePane="bottomLeft" state="frozen"/>
    </sheetView>
  </sheetViews>
  <sheetFormatPr defaultRowHeight="15"/>
  <cols>
    <col min="1" max="1" width="26" hidden="false" customWidth="true"/>
    <col min="2" max="2" width="22" hidden="false" customWidth="true"/>
    <col min="3" max="3" width="22" hidden="false" customWidth="true"/>
    <col min="4" max="4" width="22" hidden="false" customWidth="true"/>
    <col min="5" max="5" width="22" hidden="false" customWidth="true"/>
    <col min="6" max="6" width="22" hidden="false" customWidth="true"/>
    <col min="7" max="7" width="22" hidden="false" customWidth="true"/>
    <col min="8" max="8" width="22" hidden="false" customWidth="true"/>
    <col min="9" max="9" width="22" hidden="false" customWidth="true"/>
    <col min="10" max="10" width="22" hidden="false" customWidth="true"/>
    <col min="11" max="11" width="22" hidden="false" customWidth="true"/>
    <col min="12" max="12" width="22" hidden="false" customWidth="true"/>
  </cols>
  <sheetData>
    <row r="1" ht="48" customHeight="true">
      <c r="A1" s="8" t="str">
        <v>方法</v>
      </c>
      <c r="B1" s="8" t="str">
        <v>固定起点MAPE（%）</v>
      </c>
      <c r="C1" s="8" t="str">
        <v>固定起点MAE</v>
      </c>
      <c r="D1" s="8" t="str">
        <v>固定起点RMSE</v>
      </c>
      <c r="E1" s="8" t="str">
        <v>固定起点MSE</v>
      </c>
      <c r="F1" s="8" t="str">
        <v>滚动MAPE（%）</v>
      </c>
      <c r="G1" s="8" t="str">
        <v>滚动MAE</v>
      </c>
      <c r="H1" s="8" t="str">
        <v>滚动RMSE</v>
      </c>
      <c r="I1" s="8" t="str">
        <v>滚动MSE</v>
      </c>
      <c r="J1" s="8" t="str">
        <v>两种MAPE均值</v>
      </c>
      <c r="K1" s="8" t="str">
        <v>节水响应准入</v>
      </c>
      <c r="L1" s="8" t="str">
        <v>选为主模型</v>
      </c>
    </row>
    <row r="2" ht="27" customHeight="true">
      <c r="A2" s="2" t="str">
        <v>普通PSO-BP</v>
      </c>
      <c r="B2" s="9" t="n">
        <v>19.79558022172485</v>
      </c>
      <c r="C2" s="9" t="n">
        <v>32.68022861362446</v>
      </c>
      <c r="D2" s="9" t="n">
        <v>32.79642384110843</v>
      </c>
      <c r="E2" s="9" t="n">
        <v>1075.6054167656253</v>
      </c>
      <c r="F2" s="9" t="n">
        <v>4.931283358779667</v>
      </c>
      <c r="G2" s="9" t="n">
        <v>8.213093725799851</v>
      </c>
      <c r="H2" s="9" t="n">
        <v>14.102162058048101</v>
      </c>
      <c r="I2" s="9" t="n">
        <v>198.87097471145148</v>
      </c>
      <c r="J2" s="9" t="n">
        <v>12.363431790252259</v>
      </c>
      <c r="K2" s="3" t="b">
        <v>1</v>
      </c>
      <c r="L2" s="3" t="b">
        <v>0</v>
      </c>
    </row>
    <row r="3" ht="27" customHeight="true">
      <c r="A3" s="2" t="str">
        <v>受约束PSO-BP</v>
      </c>
      <c r="B3" s="9" t="n">
        <v>6.086767312746738</v>
      </c>
      <c r="C3" s="9" t="n">
        <v>10.04803781978324</v>
      </c>
      <c r="D3" s="9" t="n">
        <v>10.085798084580686</v>
      </c>
      <c r="E3" s="9" t="n">
        <v>101.72332300293144</v>
      </c>
      <c r="F3" s="9" t="n">
        <v>11.34081118728569</v>
      </c>
      <c r="G3" s="9" t="n">
        <v>18.68644158254863</v>
      </c>
      <c r="H3" s="9" t="n">
        <v>33.078990524867244</v>
      </c>
      <c r="I3" s="9" t="n">
        <v>1094.219614144257</v>
      </c>
      <c r="J3" s="9" t="n">
        <v>8.713789250016214</v>
      </c>
      <c r="K3" s="3" t="b">
        <v>1</v>
      </c>
      <c r="L3" s="3" t="b">
        <v>0</v>
      </c>
    </row>
    <row r="4" ht="27" customHeight="true">
      <c r="A4" s="2" t="str">
        <v>岭回归</v>
      </c>
      <c r="B4" s="9" t="n">
        <v>3.3474351554553694</v>
      </c>
      <c r="C4" s="9" t="n">
        <v>5.532924222310363</v>
      </c>
      <c r="D4" s="9" t="n">
        <v>5.594441478222471</v>
      </c>
      <c r="E4" s="9" t="n">
        <v>31.297775453256033</v>
      </c>
      <c r="F4" s="9" t="n">
        <v>1.9496351454039287</v>
      </c>
      <c r="G4" s="9" t="n">
        <v>3.232490035258529</v>
      </c>
      <c r="H4" s="9" t="n">
        <v>4.228828066127122</v>
      </c>
      <c r="I4" s="9" t="n">
        <v>17.88298681286445</v>
      </c>
      <c r="J4" s="9" t="n">
        <v>2.648535150429649</v>
      </c>
      <c r="K4" s="3" t="b">
        <v>1</v>
      </c>
      <c r="L4" s="3" t="b">
        <v>1</v>
      </c>
    </row>
    <row r="5" ht="27" customHeight="true">
      <c r="A5" s="2" t="str">
        <v>最近实际值基准</v>
      </c>
      <c r="B5" s="9" t="n">
        <v>7.025775326671719</v>
      </c>
      <c r="C5" s="9" t="n">
        <v>11.598016728772002</v>
      </c>
      <c r="D5" s="9" t="n">
        <v>11.64349032897246</v>
      </c>
      <c r="E5" s="9" t="n">
        <v>135.5708670408752</v>
      </c>
      <c r="F5" s="9" t="n">
        <v>1.980116458145584</v>
      </c>
      <c r="G5" s="9" t="n">
        <v>3.293254182192996</v>
      </c>
      <c r="H5" s="9" t="n">
        <v>5.093291159128147</v>
      </c>
      <c r="I5" s="9" t="n">
        <v>25.941614831652945</v>
      </c>
      <c r="J5" s="9" t="n">
        <v>4.502945892408651</v>
      </c>
      <c r="K5" s="2"/>
      <c r="L5" s="3" t="b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="http://schemas.openxmlformats.org/spreadsheetml/2006/main" xmlns:mc="http://schemas.openxmlformats.org/markup-compatibility/2006" xmlns:x14ac="http://schemas.microsoft.com/office/spreadsheetml/2009/9/ac" mc:Ignorable="x14ac">
  <dimension ref="A1:D5"/>
  <sheetViews>
    <sheetView showGridLines="false" workbookViewId="0">
      <pane ySplit="1" topLeftCell="A2" activePane="bottomLeft" state="frozen"/>
    </sheetView>
  </sheetViews>
  <sheetFormatPr defaultRowHeight="15"/>
  <cols>
    <col min="1" max="1" width="5.125" hidden="false" customWidth="true"/>
    <col min="2" max="2" width="11.125" hidden="false" customWidth="true"/>
    <col min="3" max="3" width="13.125" hidden="false" customWidth="true"/>
    <col min="4" max="4" width="11.625" hidden="false" customWidth="true"/>
    <col min="5" max="5" width="22" hidden="false" customWidth="true"/>
    <col min="6" max="6" width="22" hidden="false" customWidth="true"/>
    <col min="7" max="7" width="22" hidden="false" customWidth="true"/>
  </cols>
  <sheetData>
    <row r="1">
      <c r="A1" s="0" t="s">
        <v>128</v>
      </c>
      <c r="B1" s="0" t="s">
        <v>216</v>
      </c>
      <c r="C1" s="0" t="s">
        <v>217</v>
      </c>
      <c r="D1" s="0" t="s">
        <v>218</v>
      </c>
    </row>
    <row r="2">
      <c r="A2" s="0">
        <v>2020</v>
      </c>
      <c r="B2" s="0">
        <v>166.90000000000001</v>
      </c>
      <c r="C2" s="0">
        <v>169.84222793612653</v>
      </c>
      <c r="D2" s="0">
        <v>169.84222793612653</v>
      </c>
    </row>
    <row r="3">
      <c r="A3" s="0">
        <v>2021</v>
      </c>
      <c r="B3" s="0">
        <v>164.5</v>
      </c>
      <c r="C3" s="0">
        <v>165.44547853849704</v>
      </c>
      <c r="D3" s="0">
        <v>161.73000921482887</v>
      </c>
    </row>
    <row r="4">
      <c r="A4" s="0">
        <v>2022</v>
      </c>
      <c r="B4" s="0">
        <v>194.30000000000001</v>
      </c>
      <c r="C4" s="0">
        <v>165.44306151477943</v>
      </c>
      <c r="D4" s="0">
        <v>164.51439156863458</v>
      </c>
    </row>
    <row r="5">
      <c r="A5" s="0">
        <v>2023</v>
      </c>
      <c r="B5" s="0">
        <v>165</v>
      </c>
      <c r="C5" s="0">
        <v>165.31376203821966</v>
      </c>
      <c r="D5" s="0">
        <v>193.85139612124465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="http://schemas.openxmlformats.org/spreadsheetml/2006/main" xmlns:mc="http://schemas.openxmlformats.org/markup-compatibility/2006" xmlns:x14ac="http://schemas.microsoft.com/office/spreadsheetml/2009/9/ac" mc:Ignorable="x14ac">
  <dimension ref="A1:F9"/>
  <sheetViews>
    <sheetView showGridLines="false" workbookViewId="0">
      <pane ySplit="1" topLeftCell="A2" activePane="bottomLeft" state="frozen"/>
    </sheetView>
  </sheetViews>
  <sheetFormatPr defaultRowHeight="15"/>
  <cols>
    <col min="1" max="1" width="5.125" hidden="false" customWidth="true"/>
    <col min="2" max="2" width="11.625" hidden="false" customWidth="true"/>
    <col min="3" max="3" width="11.625" hidden="false" customWidth="true"/>
    <col min="4" max="4" width="11.625" hidden="false" customWidth="true"/>
    <col min="5" max="5" width="11.625" hidden="false" customWidth="true"/>
    <col min="6" max="6" width="11.625" hidden="false" customWidth="true"/>
  </cols>
  <sheetData>
    <row r="1">
      <c r="A1" s="0" t="s">
        <v>128</v>
      </c>
      <c r="B1" s="0" t="s">
        <v>119</v>
      </c>
      <c r="C1" s="0" t="s">
        <v>120</v>
      </c>
      <c r="D1" s="0" t="s">
        <v>121</v>
      </c>
      <c r="E1" s="0" t="s">
        <v>122</v>
      </c>
      <c r="F1" s="0" t="s">
        <v>123</v>
      </c>
    </row>
    <row r="2">
      <c r="A2" s="0">
        <v>2023</v>
      </c>
      <c r="B2" s="0">
        <v>165</v>
      </c>
      <c r="C2" s="0">
        <v>165</v>
      </c>
      <c r="D2" s="0">
        <v>165</v>
      </c>
      <c r="E2" s="0">
        <v>165</v>
      </c>
      <c r="F2" s="0">
        <v>165</v>
      </c>
    </row>
    <row r="3">
      <c r="A3" s="0">
        <v>2024</v>
      </c>
      <c r="B3" s="0">
        <v>165.18863526492498</v>
      </c>
      <c r="C3" s="0">
        <v>165.17908275339119</v>
      </c>
      <c r="D3" s="0">
        <v>165.17701487907493</v>
      </c>
      <c r="E3" s="0">
        <v>165.18959527748223</v>
      </c>
      <c r="F3" s="0">
        <v>165.19379656327158</v>
      </c>
    </row>
    <row r="4">
      <c r="A4" s="0">
        <v>2025</v>
      </c>
      <c r="B4" s="0">
        <v>165.30180939577485</v>
      </c>
      <c r="C4" s="0">
        <v>165.2711738744573</v>
      </c>
      <c r="D4" s="0">
        <v>165.35738468088493</v>
      </c>
      <c r="E4" s="0">
        <v>165.31187985390261</v>
      </c>
      <c r="F4" s="0">
        <v>165.21639502021844</v>
      </c>
    </row>
    <row r="5">
      <c r="A5" s="0">
        <v>2026</v>
      </c>
      <c r="B5" s="0">
        <v>165.45586062647601</v>
      </c>
      <c r="C5" s="0">
        <v>165.39175668478583</v>
      </c>
      <c r="D5" s="0">
        <v>165.55205244119804</v>
      </c>
      <c r="E5" s="0">
        <v>165.48313209048638</v>
      </c>
      <c r="F5" s="0">
        <v>165.28897196681351</v>
      </c>
    </row>
    <row r="6">
      <c r="A6" s="0">
        <v>2027</v>
      </c>
      <c r="B6" s="0">
        <v>165.66473162170803</v>
      </c>
      <c r="C6" s="0">
        <v>165.55366021191776</v>
      </c>
      <c r="D6" s="0">
        <v>165.77368046029869</v>
      </c>
      <c r="E6" s="0">
        <v>165.71745574966292</v>
      </c>
      <c r="F6" s="0">
        <v>165.42417374238482</v>
      </c>
    </row>
    <row r="7">
      <c r="A7" s="0">
        <v>2028</v>
      </c>
      <c r="B7" s="0">
        <v>165.92452240193279</v>
      </c>
      <c r="C7" s="0">
        <v>165.75165500037542</v>
      </c>
      <c r="D7" s="0">
        <v>166.01647565182861</v>
      </c>
      <c r="E7" s="0">
        <v>166.01099013827525</v>
      </c>
      <c r="F7" s="0">
        <v>165.6169906549494</v>
      </c>
    </row>
    <row r="8">
      <c r="A8" s="0">
        <v>2029</v>
      </c>
      <c r="B8" s="0">
        <v>166.23235054936822</v>
      </c>
      <c r="C8" s="0">
        <v>165.98140207954998</v>
      </c>
      <c r="D8" s="0">
        <v>166.2752704578138</v>
      </c>
      <c r="E8" s="0">
        <v>166.36088331665098</v>
      </c>
      <c r="F8" s="0">
        <v>165.86358790002362</v>
      </c>
    </row>
    <row r="9">
      <c r="A9" s="0">
        <v>2030</v>
      </c>
      <c r="B9" s="0">
        <v>166.58603768167302</v>
      </c>
      <c r="C9" s="0">
        <v>166.2391928015154</v>
      </c>
      <c r="D9" s="0">
        <v>166.54533035125223</v>
      </c>
      <c r="E9" s="0">
        <v>166.76496394097842</v>
      </c>
      <c r="F9" s="0">
        <v>166.16095993962062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="http://schemas.openxmlformats.org/spreadsheetml/2006/main" xmlns:mc="http://schemas.openxmlformats.org/markup-compatibility/2006" xmlns:x14ac="http://schemas.microsoft.com/office/spreadsheetml/2009/9/ac" mc:Ignorable="x14ac">
  <dimension ref="A1:F9"/>
  <sheetViews>
    <sheetView showGridLines="false" workbookViewId="0">
      <pane ySplit="1" topLeftCell="A2" activePane="bottomLeft" state="frozen"/>
    </sheetView>
  </sheetViews>
  <sheetFormatPr defaultRowHeight="15"/>
  <cols>
    <col min="1" max="1" width="5.125" hidden="false" customWidth="true"/>
    <col min="2" max="2" width="11.625" hidden="false" customWidth="true"/>
    <col min="3" max="3" width="11.625" hidden="false" customWidth="true"/>
    <col min="4" max="4" width="11.625" hidden="false" customWidth="true"/>
    <col min="5" max="5" width="11.625" hidden="false" customWidth="true"/>
    <col min="6" max="6" width="11.625" hidden="false" customWidth="true"/>
  </cols>
  <sheetData>
    <row r="1">
      <c r="A1" s="0" t="s">
        <v>128</v>
      </c>
      <c r="B1" s="0" t="s">
        <v>119</v>
      </c>
      <c r="C1" s="0" t="s">
        <v>120</v>
      </c>
      <c r="D1" s="0" t="s">
        <v>121</v>
      </c>
      <c r="E1" s="0" t="s">
        <v>122</v>
      </c>
      <c r="F1" s="0" t="s">
        <v>123</v>
      </c>
    </row>
    <row r="2">
      <c r="A2" s="0">
        <v>2023</v>
      </c>
      <c r="B2" s="0">
        <v>165</v>
      </c>
      <c r="C2" s="0">
        <v>165</v>
      </c>
      <c r="D2" s="0">
        <v>165</v>
      </c>
      <c r="E2" s="0">
        <v>165</v>
      </c>
      <c r="F2" s="0">
        <v>165</v>
      </c>
    </row>
    <row r="3">
      <c r="A3" s="0">
        <v>2024</v>
      </c>
      <c r="B3" s="0">
        <v>164.4748707566232</v>
      </c>
      <c r="C3" s="0">
        <v>164.56953805219825</v>
      </c>
      <c r="D3" s="0">
        <v>164.67302725600655</v>
      </c>
      <c r="E3" s="0">
        <v>164.57953360994259</v>
      </c>
      <c r="F3" s="0">
        <v>164.47896102783022</v>
      </c>
    </row>
    <row r="4">
      <c r="A4" s="0">
        <v>2025</v>
      </c>
      <c r="B4" s="0">
        <v>163.97336291396618</v>
      </c>
      <c r="C4" s="0">
        <v>164.13567579262497</v>
      </c>
      <c r="D4" s="0">
        <v>164.41462707096798</v>
      </c>
      <c r="E4" s="0">
        <v>164.17326296256704</v>
      </c>
      <c r="F4" s="0">
        <v>163.89090552699315</v>
      </c>
    </row>
    <row r="5">
      <c r="A5" s="0">
        <v>2026</v>
      </c>
      <c r="B5" s="0">
        <v>163.55132054552689</v>
      </c>
      <c r="C5" s="0">
        <v>163.75690974914642</v>
      </c>
      <c r="D5" s="0">
        <v>164.18191529280375</v>
      </c>
      <c r="E5" s="0">
        <v>163.83883059982793</v>
      </c>
      <c r="F5" s="0">
        <v>163.39477302566308</v>
      </c>
    </row>
    <row r="6">
      <c r="A6" s="0">
        <v>2027</v>
      </c>
      <c r="B6" s="0">
        <v>163.21259564728871</v>
      </c>
      <c r="C6" s="0">
        <v>163.43991055875335</v>
      </c>
      <c r="D6" s="0">
        <v>163.98491070706655</v>
      </c>
      <c r="E6" s="0">
        <v>163.58262820418611</v>
      </c>
      <c r="F6" s="0">
        <v>162.99175619689834</v>
      </c>
    </row>
    <row r="7">
      <c r="A7" s="0">
        <v>2028</v>
      </c>
      <c r="B7" s="0">
        <v>162.94645336639951</v>
      </c>
      <c r="C7" s="0">
        <v>163.17580300969121</v>
      </c>
      <c r="D7" s="0">
        <v>163.81713336301107</v>
      </c>
      <c r="E7" s="0">
        <v>163.39575223633108</v>
      </c>
      <c r="F7" s="0">
        <v>162.66880106233475</v>
      </c>
    </row>
    <row r="8">
      <c r="A8" s="0">
        <v>2029</v>
      </c>
      <c r="B8" s="0">
        <v>162.74433075594322</v>
      </c>
      <c r="C8" s="0">
        <v>162.95730873361413</v>
      </c>
      <c r="D8" s="0">
        <v>163.67315319301497</v>
      </c>
      <c r="E8" s="0">
        <v>163.27120556907312</v>
      </c>
      <c r="F8" s="0">
        <v>162.41535206017431</v>
      </c>
    </row>
    <row r="9">
      <c r="A9" s="0">
        <v>2030</v>
      </c>
      <c r="B9" s="0">
        <v>162.59936305964357</v>
      </c>
      <c r="C9" s="0">
        <v>162.77836104508094</v>
      </c>
      <c r="D9" s="0">
        <v>163.54829125244339</v>
      </c>
      <c r="E9" s="0">
        <v>163.20348132848176</v>
      </c>
      <c r="F9" s="0">
        <v>162.22283681275974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="http://schemas.openxmlformats.org/spreadsheetml/2006/main" xmlns:mc="http://schemas.openxmlformats.org/markup-compatibility/2006" xmlns:x14ac="http://schemas.microsoft.com/office/spreadsheetml/2009/9/ac" mc:Ignorable="x14ac">
  <dimension ref="A1:F9"/>
  <sheetViews>
    <sheetView showGridLines="false" workbookViewId="0">
      <pane ySplit="1" topLeftCell="A2" activePane="bottomLeft" state="frozen"/>
    </sheetView>
  </sheetViews>
  <sheetFormatPr defaultRowHeight="15"/>
  <cols>
    <col min="1" max="1" width="5.125" hidden="false" customWidth="true"/>
    <col min="2" max="2" width="11.625" hidden="false" customWidth="true"/>
    <col min="3" max="3" width="11.625" hidden="false" customWidth="true"/>
    <col min="4" max="4" width="11.625" hidden="false" customWidth="true"/>
    <col min="5" max="5" width="11.625" hidden="false" customWidth="true"/>
    <col min="6" max="6" width="11.625" hidden="false" customWidth="true"/>
  </cols>
  <sheetData>
    <row r="1">
      <c r="A1" s="0" t="s">
        <v>128</v>
      </c>
      <c r="B1" s="0" t="s">
        <v>119</v>
      </c>
      <c r="C1" s="0" t="s">
        <v>120</v>
      </c>
      <c r="D1" s="0" t="s">
        <v>121</v>
      </c>
      <c r="E1" s="0" t="s">
        <v>122</v>
      </c>
      <c r="F1" s="0" t="s">
        <v>123</v>
      </c>
    </row>
    <row r="2">
      <c r="A2" s="0">
        <v>2023</v>
      </c>
      <c r="B2" s="0">
        <v>165</v>
      </c>
      <c r="C2" s="0">
        <v>165</v>
      </c>
      <c r="D2" s="0">
        <v>165</v>
      </c>
      <c r="E2" s="0">
        <v>165</v>
      </c>
      <c r="F2" s="0">
        <v>165</v>
      </c>
    </row>
    <row r="3">
      <c r="A3" s="0">
        <v>2024</v>
      </c>
      <c r="B3" s="0">
        <v>164.38619132866143</v>
      </c>
      <c r="C3" s="0">
        <v>164.46117903195341</v>
      </c>
      <c r="D3" s="0">
        <v>164.54470676967651</v>
      </c>
      <c r="E3" s="0">
        <v>164.47111208956096</v>
      </c>
      <c r="F3" s="0">
        <v>164.39026034623782</v>
      </c>
    </row>
    <row r="4">
      <c r="A4" s="0">
        <v>2025</v>
      </c>
      <c r="B4" s="0">
        <v>163.80656719074852</v>
      </c>
      <c r="C4" s="0">
        <v>163.93019403217454</v>
      </c>
      <c r="D4" s="0">
        <v>164.16796436844356</v>
      </c>
      <c r="E4" s="0">
        <v>163.96729971165348</v>
      </c>
      <c r="F4" s="0">
        <v>163.72499472037975</v>
      </c>
    </row>
    <row r="5">
      <c r="A5" s="0">
        <v>2026</v>
      </c>
      <c r="B5" s="0">
        <v>163.31537043441051</v>
      </c>
      <c r="C5" s="0">
        <v>163.46416615192811</v>
      </c>
      <c r="D5" s="0">
        <v>163.82594933505652</v>
      </c>
      <c r="E5" s="0">
        <v>163.54448971731847</v>
      </c>
      <c r="F5" s="0">
        <v>163.16139254018776</v>
      </c>
    </row>
    <row r="6">
      <c r="A6" s="0">
        <v>2027</v>
      </c>
      <c r="B6" s="0">
        <v>162.91468122506888</v>
      </c>
      <c r="C6" s="0">
        <v>163.06813799635404</v>
      </c>
      <c r="D6" s="0">
        <v>163.52743712330891</v>
      </c>
      <c r="E6" s="0">
        <v>163.20712392957535</v>
      </c>
      <c r="F6" s="0">
        <v>162.698715825823</v>
      </c>
    </row>
    <row r="7">
      <c r="A7" s="0">
        <v>2028</v>
      </c>
      <c r="B7" s="0">
        <v>162.59229900031778</v>
      </c>
      <c r="C7" s="0">
        <v>162.73191661247608</v>
      </c>
      <c r="D7" s="0">
        <v>163.2650296628193</v>
      </c>
      <c r="E7" s="0">
        <v>162.9446861805086</v>
      </c>
      <c r="F7" s="0">
        <v>162.32230473874097</v>
      </c>
    </row>
    <row r="8">
      <c r="A8" s="0">
        <v>2029</v>
      </c>
      <c r="B8" s="0">
        <v>162.33840659579766</v>
      </c>
      <c r="C8" s="0">
        <v>162.44709821255765</v>
      </c>
      <c r="D8" s="0">
        <v>163.03254975774746</v>
      </c>
      <c r="E8" s="0">
        <v>162.74878569972668</v>
      </c>
      <c r="F8" s="0">
        <v>162.02023833242629</v>
      </c>
    </row>
    <row r="9">
      <c r="A9" s="0">
        <v>2030</v>
      </c>
      <c r="B9" s="0">
        <v>162.14507925618148</v>
      </c>
      <c r="C9" s="0">
        <v>162.20666765288877</v>
      </c>
      <c r="D9" s="0">
        <v>162.8247220283464</v>
      </c>
      <c r="E9" s="0">
        <v>162.61272343277824</v>
      </c>
      <c r="F9" s="0">
        <v>161.78280304265581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="http://schemas.openxmlformats.org/spreadsheetml/2006/main" xmlns:mc="http://schemas.openxmlformats.org/markup-compatibility/2006" xmlns:x14ac="http://schemas.microsoft.com/office/spreadsheetml/2009/9/ac" mc:Ignorable="x14ac">
  <dimension ref="A1:F106"/>
  <sheetViews>
    <sheetView showGridLines="false" workbookViewId="0">
      <pane ySplit="1" topLeftCell="A2" activePane="bottomLeft" state="frozen"/>
    </sheetView>
  </sheetViews>
  <sheetFormatPr defaultRowHeight="15"/>
  <cols>
    <col min="1" max="1" width="22" hidden="false" customWidth="true"/>
    <col min="2" max="2" width="22" hidden="false" customWidth="true"/>
    <col min="3" max="3" width="22" hidden="false" customWidth="true"/>
    <col min="4" max="4" width="22" hidden="false" customWidth="true"/>
    <col min="5" max="5" width="22" hidden="false" customWidth="true"/>
    <col min="6" max="6" width="22" hidden="false" customWidth="true"/>
  </cols>
  <sheetData>
    <row r="1" ht="48" customHeight="true">
      <c r="A1" s="8" t="str">
        <v>方法</v>
      </c>
      <c r="B1" s="8" t="str">
        <v>情景</v>
      </c>
      <c r="C1" s="8" t="str">
        <v>年份</v>
      </c>
      <c r="D1" s="8" t="str">
        <v>效率保持2023年</v>
      </c>
      <c r="E1" s="8" t="str">
        <v>历史节水趋势</v>
      </c>
      <c r="F1" s="8" t="str">
        <v>规划参考约束</v>
      </c>
    </row>
    <row r="2" ht="27" customHeight="true">
      <c r="A2" s="2" t="str">
        <v>普通PSO-BP</v>
      </c>
      <c r="B2" s="2" t="str">
        <v>SSP1</v>
      </c>
      <c r="C2" s="10" t="n">
        <v>2024</v>
      </c>
      <c r="D2" s="9" t="n">
        <v>165.30670829577502</v>
      </c>
      <c r="E2" s="9" t="n">
        <v>163.86839718677322</v>
      </c>
      <c r="F2" s="9" t="n">
        <v>163.86839718677322</v>
      </c>
    </row>
    <row r="3" ht="27" customHeight="true">
      <c r="A3" s="2" t="str">
        <v>普通PSO-BP</v>
      </c>
      <c r="B3" s="2" t="str">
        <v>SSP1</v>
      </c>
      <c r="C3" s="10" t="n">
        <v>2025</v>
      </c>
      <c r="D3" s="9" t="n">
        <v>165.58199634549294</v>
      </c>
      <c r="E3" s="9" t="n">
        <v>162.82368953066958</v>
      </c>
      <c r="F3" s="9" t="n">
        <v>162.82368953066958</v>
      </c>
    </row>
    <row r="4" ht="27" customHeight="true">
      <c r="A4" s="2" t="str">
        <v>普通PSO-BP</v>
      </c>
      <c r="B4" s="2" t="str">
        <v>SSP1</v>
      </c>
      <c r="C4" s="10" t="n">
        <v>2026</v>
      </c>
      <c r="D4" s="9" t="n">
        <v>165.92461854027005</v>
      </c>
      <c r="E4" s="9" t="n">
        <v>161.9463549984627</v>
      </c>
      <c r="F4" s="9" t="n">
        <v>161.9463549984627</v>
      </c>
    </row>
    <row r="5" ht="27" customHeight="true">
      <c r="A5" s="2" t="str">
        <v>普通PSO-BP</v>
      </c>
      <c r="B5" s="2" t="str">
        <v>SSP1</v>
      </c>
      <c r="C5" s="10" t="n">
        <v>2027</v>
      </c>
      <c r="D5" s="9" t="n">
        <v>166.36354892216121</v>
      </c>
      <c r="E5" s="9" t="n">
        <v>161.23558461831323</v>
      </c>
      <c r="F5" s="9" t="n">
        <v>161.23558461831323</v>
      </c>
    </row>
    <row r="6" ht="27" customHeight="true">
      <c r="A6" s="2" t="str">
        <v>普通PSO-BP</v>
      </c>
      <c r="B6" s="2" t="str">
        <v>SSP1</v>
      </c>
      <c r="C6" s="10" t="n">
        <v>2028</v>
      </c>
      <c r="D6" s="9" t="n">
        <v>166.89328433193816</v>
      </c>
      <c r="E6" s="9" t="n">
        <v>160.66491738625808</v>
      </c>
      <c r="F6" s="9" t="n">
        <v>160.66491738625808</v>
      </c>
    </row>
    <row r="7" ht="27" customHeight="true">
      <c r="A7" s="2" t="str">
        <v>普通PSO-BP</v>
      </c>
      <c r="B7" s="2" t="str">
        <v>SSP1</v>
      </c>
      <c r="C7" s="10" t="n">
        <v>2029</v>
      </c>
      <c r="D7" s="9" t="n">
        <v>167.51001793890276</v>
      </c>
      <c r="E7" s="9" t="n">
        <v>160.21345675118982</v>
      </c>
      <c r="F7" s="9" t="n">
        <v>160.21345675118982</v>
      </c>
    </row>
    <row r="8" ht="27" customHeight="true">
      <c r="A8" s="2" t="str">
        <v>普通PSO-BP</v>
      </c>
      <c r="B8" s="2" t="str">
        <v>SSP1</v>
      </c>
      <c r="C8" s="10" t="n">
        <v>2030</v>
      </c>
      <c r="D8" s="9" t="n">
        <v>168.21100520721603</v>
      </c>
      <c r="E8" s="9" t="n">
        <v>159.86468117292117</v>
      </c>
      <c r="F8" s="9" t="n">
        <v>159.86468117292117</v>
      </c>
    </row>
    <row r="9" ht="27" customHeight="true">
      <c r="A9" s="2" t="str">
        <v>普通PSO-BP</v>
      </c>
      <c r="B9" s="2" t="str">
        <v>SSP2</v>
      </c>
      <c r="C9" s="10" t="n">
        <v>2024</v>
      </c>
      <c r="D9" s="9" t="n">
        <v>165.28814088374605</v>
      </c>
      <c r="E9" s="9" t="n">
        <v>164.07606295191408</v>
      </c>
      <c r="F9" s="9" t="n">
        <v>164.07606295191408</v>
      </c>
    </row>
    <row r="10" ht="27" customHeight="true">
      <c r="A10" s="2" t="str">
        <v>普通PSO-BP</v>
      </c>
      <c r="B10" s="2" t="str">
        <v>SSP2</v>
      </c>
      <c r="C10" s="10" t="n">
        <v>2025</v>
      </c>
      <c r="D10" s="9" t="n">
        <v>165.52468264072075</v>
      </c>
      <c r="E10" s="9" t="n">
        <v>163.17761829229931</v>
      </c>
      <c r="F10" s="9" t="n">
        <v>163.17761829229931</v>
      </c>
    </row>
    <row r="11" ht="27" customHeight="true">
      <c r="A11" s="2" t="str">
        <v>普通PSO-BP</v>
      </c>
      <c r="B11" s="2" t="str">
        <v>SSP2</v>
      </c>
      <c r="C11" s="10" t="n">
        <v>2026</v>
      </c>
      <c r="D11" s="9" t="n">
        <v>165.80660083080414</v>
      </c>
      <c r="E11" s="9" t="n">
        <v>162.3943543324371</v>
      </c>
      <c r="F11" s="9" t="n">
        <v>162.3943543324371</v>
      </c>
    </row>
    <row r="12" ht="27" customHeight="true">
      <c r="A12" s="2" t="str">
        <v>普通PSO-BP</v>
      </c>
      <c r="B12" s="2" t="str">
        <v>SSP2</v>
      </c>
      <c r="C12" s="10" t="n">
        <v>2027</v>
      </c>
      <c r="D12" s="9" t="n">
        <v>166.16049686515902</v>
      </c>
      <c r="E12" s="9" t="n">
        <v>161.73489114097578</v>
      </c>
      <c r="F12" s="9" t="n">
        <v>161.73489114097578</v>
      </c>
    </row>
    <row r="13" ht="27" customHeight="true">
      <c r="A13" s="2" t="str">
        <v>普通PSO-BP</v>
      </c>
      <c r="B13" s="2" t="str">
        <v>SSP2</v>
      </c>
      <c r="C13" s="10" t="n">
        <v>2028</v>
      </c>
      <c r="D13" s="9" t="n">
        <v>166.57808498028413</v>
      </c>
      <c r="E13" s="9" t="n">
        <v>161.17940128291735</v>
      </c>
      <c r="F13" s="9" t="n">
        <v>161.17940128291735</v>
      </c>
    </row>
    <row r="14" ht="27" customHeight="true">
      <c r="A14" s="2" t="str">
        <v>普通PSO-BP</v>
      </c>
      <c r="B14" s="2" t="str">
        <v>SSP2</v>
      </c>
      <c r="C14" s="10" t="n">
        <v>2029</v>
      </c>
      <c r="D14" s="9" t="n">
        <v>167.05253574321858</v>
      </c>
      <c r="E14" s="9" t="n">
        <v>160.71184848332842</v>
      </c>
      <c r="F14" s="9" t="n">
        <v>160.71184848332842</v>
      </c>
    </row>
    <row r="15" ht="27" customHeight="true">
      <c r="A15" s="2" t="str">
        <v>普通PSO-BP</v>
      </c>
      <c r="B15" s="2" t="str">
        <v>SSP2</v>
      </c>
      <c r="C15" s="10" t="n">
        <v>2030</v>
      </c>
      <c r="D15" s="9" t="n">
        <v>167.57797830472515</v>
      </c>
      <c r="E15" s="9" t="n">
        <v>160.31910362432512</v>
      </c>
      <c r="F15" s="9" t="n">
        <v>160.31910362432512</v>
      </c>
    </row>
    <row r="16" ht="27" customHeight="true">
      <c r="A16" s="2" t="str">
        <v>普通PSO-BP</v>
      </c>
      <c r="B16" s="2" t="str">
        <v>SSP3</v>
      </c>
      <c r="C16" s="10" t="n">
        <v>2024</v>
      </c>
      <c r="D16" s="9" t="n">
        <v>165.28430819818067</v>
      </c>
      <c r="E16" s="9" t="n">
        <v>164.30241164157383</v>
      </c>
      <c r="F16" s="9" t="n">
        <v>164.30241164157383</v>
      </c>
    </row>
    <row r="17" ht="27" customHeight="true">
      <c r="A17" s="2" t="str">
        <v>普通PSO-BP</v>
      </c>
      <c r="B17" s="2" t="str">
        <v>SSP3</v>
      </c>
      <c r="C17" s="10" t="n">
        <v>2025</v>
      </c>
      <c r="D17" s="9" t="n">
        <v>165.67090286175397</v>
      </c>
      <c r="E17" s="9" t="n">
        <v>163.73412002261568</v>
      </c>
      <c r="F17" s="9" t="n">
        <v>163.73412002261568</v>
      </c>
    </row>
    <row r="18" ht="27" customHeight="true">
      <c r="A18" s="2" t="str">
        <v>普通PSO-BP</v>
      </c>
      <c r="B18" s="2" t="str">
        <v>SSP3</v>
      </c>
      <c r="C18" s="10" t="n">
        <v>2026</v>
      </c>
      <c r="D18" s="9" t="n">
        <v>166.0793973018844</v>
      </c>
      <c r="E18" s="9" t="n">
        <v>163.21637396029536</v>
      </c>
      <c r="F18" s="9" t="n">
        <v>163.21637396029536</v>
      </c>
    </row>
    <row r="19" ht="27" customHeight="true">
      <c r="A19" s="2" t="str">
        <v>普通PSO-BP</v>
      </c>
      <c r="B19" s="2" t="str">
        <v>SSP3</v>
      </c>
      <c r="C19" s="10" t="n">
        <v>2027</v>
      </c>
      <c r="D19" s="9" t="n">
        <v>166.53574215516625</v>
      </c>
      <c r="E19" s="9" t="n">
        <v>162.76770486486276</v>
      </c>
      <c r="F19" s="9" t="n">
        <v>162.76770486486276</v>
      </c>
    </row>
    <row r="20" ht="27" customHeight="true">
      <c r="A20" s="2" t="str">
        <v>普通PSO-BP</v>
      </c>
      <c r="B20" s="2" t="str">
        <v>SSP3</v>
      </c>
      <c r="C20" s="10" t="n">
        <v>2028</v>
      </c>
      <c r="D20" s="9" t="n">
        <v>167.03017568870547</v>
      </c>
      <c r="E20" s="9" t="n">
        <v>162.37565086560983</v>
      </c>
      <c r="F20" s="9" t="n">
        <v>162.37565086560983</v>
      </c>
    </row>
    <row r="21" ht="27" customHeight="true">
      <c r="A21" s="2" t="str">
        <v>普通PSO-BP</v>
      </c>
      <c r="B21" s="2" t="str">
        <v>SSP3</v>
      </c>
      <c r="C21" s="10" t="n">
        <v>2029</v>
      </c>
      <c r="D21" s="9" t="n">
        <v>167.55384237885784</v>
      </c>
      <c r="E21" s="9" t="n">
        <v>162.0300202053848</v>
      </c>
      <c r="F21" s="9" t="n">
        <v>162.0300202053848</v>
      </c>
    </row>
    <row r="22" ht="27" customHeight="true">
      <c r="A22" s="2" t="str">
        <v>普通PSO-BP</v>
      </c>
      <c r="B22" s="2" t="str">
        <v>SSP3</v>
      </c>
      <c r="C22" s="10" t="n">
        <v>2030</v>
      </c>
      <c r="D22" s="9" t="n">
        <v>168.0984576100612</v>
      </c>
      <c r="E22" s="9" t="n">
        <v>161.72224832418868</v>
      </c>
      <c r="F22" s="9" t="n">
        <v>161.72224832418868</v>
      </c>
    </row>
    <row r="23" ht="27" customHeight="true">
      <c r="A23" s="2" t="str">
        <v>普通PSO-BP</v>
      </c>
      <c r="B23" s="2" t="str">
        <v>SSP4</v>
      </c>
      <c r="C23" s="10" t="n">
        <v>2024</v>
      </c>
      <c r="D23" s="9" t="n">
        <v>165.30676713076338</v>
      </c>
      <c r="E23" s="9" t="n">
        <v>164.0934271440711</v>
      </c>
      <c r="F23" s="9" t="n">
        <v>164.0934271440711</v>
      </c>
    </row>
    <row r="24" ht="27" customHeight="true">
      <c r="A24" s="2" t="str">
        <v>普通PSO-BP</v>
      </c>
      <c r="B24" s="2" t="str">
        <v>SSP4</v>
      </c>
      <c r="C24" s="10" t="n">
        <v>2025</v>
      </c>
      <c r="D24" s="9" t="n">
        <v>165.5959018700285</v>
      </c>
      <c r="E24" s="9" t="n">
        <v>163.24041498000935</v>
      </c>
      <c r="F24" s="9" t="n">
        <v>163.24041498000935</v>
      </c>
    </row>
    <row r="25" ht="27" customHeight="true">
      <c r="A25" s="2" t="str">
        <v>普通PSO-BP</v>
      </c>
      <c r="B25" s="2" t="str">
        <v>SSP4</v>
      </c>
      <c r="C25" s="10" t="n">
        <v>2026</v>
      </c>
      <c r="D25" s="9" t="n">
        <v>165.96631645188182</v>
      </c>
      <c r="E25" s="9" t="n">
        <v>162.5277335002092</v>
      </c>
      <c r="F25" s="9" t="n">
        <v>162.5277335002092</v>
      </c>
    </row>
    <row r="26" ht="27" customHeight="true">
      <c r="A26" s="2" t="str">
        <v>普通PSO-BP</v>
      </c>
      <c r="B26" s="2" t="str">
        <v>SSP4</v>
      </c>
      <c r="C26" s="10" t="n">
        <v>2027</v>
      </c>
      <c r="D26" s="9" t="n">
        <v>166.44755822037035</v>
      </c>
      <c r="E26" s="9" t="n">
        <v>161.96241628654803</v>
      </c>
      <c r="F26" s="9" t="n">
        <v>161.96241628654803</v>
      </c>
    </row>
    <row r="27" ht="27" customHeight="true">
      <c r="A27" s="2" t="str">
        <v>普通PSO-BP</v>
      </c>
      <c r="B27" s="2" t="str">
        <v>SSP4</v>
      </c>
      <c r="C27" s="10" t="n">
        <v>2028</v>
      </c>
      <c r="D27" s="9" t="n">
        <v>167.03451604149046</v>
      </c>
      <c r="E27" s="9" t="n">
        <v>161.52374616194203</v>
      </c>
      <c r="F27" s="9" t="n">
        <v>161.52374616194203</v>
      </c>
    </row>
    <row r="28" ht="27" customHeight="true">
      <c r="A28" s="2" t="str">
        <v>普通PSO-BP</v>
      </c>
      <c r="B28" s="2" t="str">
        <v>SSP4</v>
      </c>
      <c r="C28" s="10" t="n">
        <v>2029</v>
      </c>
      <c r="D28" s="9" t="n">
        <v>167.72374169323126</v>
      </c>
      <c r="E28" s="9" t="n">
        <v>161.19555137424612</v>
      </c>
      <c r="F28" s="9" t="n">
        <v>161.19555137424612</v>
      </c>
    </row>
    <row r="29" ht="27" customHeight="true">
      <c r="A29" s="2" t="str">
        <v>普通PSO-BP</v>
      </c>
      <c r="B29" s="2" t="str">
        <v>SSP4</v>
      </c>
      <c r="C29" s="10" t="n">
        <v>2030</v>
      </c>
      <c r="D29" s="9" t="n">
        <v>168.5127479274476</v>
      </c>
      <c r="E29" s="9" t="n">
        <v>160.96522380086338</v>
      </c>
      <c r="F29" s="9" t="n">
        <v>160.96522380086338</v>
      </c>
    </row>
    <row r="30" ht="27" customHeight="true">
      <c r="A30" s="2" t="str">
        <v>普通PSO-BP</v>
      </c>
      <c r="B30" s="2" t="str">
        <v>SSP5</v>
      </c>
      <c r="C30" s="10" t="n">
        <v>2024</v>
      </c>
      <c r="D30" s="9" t="n">
        <v>165.31873934104618</v>
      </c>
      <c r="E30" s="9" t="n">
        <v>163.87817924569254</v>
      </c>
      <c r="F30" s="9" t="n">
        <v>163.87817924569254</v>
      </c>
    </row>
    <row r="31" ht="27" customHeight="true">
      <c r="A31" s="2" t="str">
        <v>普通PSO-BP</v>
      </c>
      <c r="B31" s="2" t="str">
        <v>SSP5</v>
      </c>
      <c r="C31" s="10" t="n">
        <v>2025</v>
      </c>
      <c r="D31" s="9" t="n">
        <v>165.44339347695683</v>
      </c>
      <c r="E31" s="9" t="n">
        <v>162.69592782659907</v>
      </c>
      <c r="F31" s="9" t="n">
        <v>162.69592782659907</v>
      </c>
    </row>
    <row r="32" ht="27" customHeight="true">
      <c r="A32" s="2" t="str">
        <v>普通PSO-BP</v>
      </c>
      <c r="B32" s="2" t="str">
        <v>SSP5</v>
      </c>
      <c r="C32" s="10" t="n">
        <v>2026</v>
      </c>
      <c r="D32" s="9" t="n">
        <v>165.650490468824</v>
      </c>
      <c r="E32" s="9" t="n">
        <v>161.7071342532783</v>
      </c>
      <c r="F32" s="9" t="n">
        <v>161.7071342532783</v>
      </c>
    </row>
    <row r="33" ht="27" customHeight="true">
      <c r="A33" s="2" t="str">
        <v>普通PSO-BP</v>
      </c>
      <c r="B33" s="2" t="str">
        <v>SSP5</v>
      </c>
      <c r="C33" s="10" t="n">
        <v>2027</v>
      </c>
      <c r="D33" s="9" t="n">
        <v>165.966764553141</v>
      </c>
      <c r="E33" s="9" t="n">
        <v>160.9046662766537</v>
      </c>
      <c r="F33" s="9" t="n">
        <v>160.9046662766537</v>
      </c>
    </row>
    <row r="34" ht="27" customHeight="true">
      <c r="A34" s="2" t="str">
        <v>普通PSO-BP</v>
      </c>
      <c r="B34" s="2" t="str">
        <v>SSP5</v>
      </c>
      <c r="C34" s="10" t="n">
        <v>2028</v>
      </c>
      <c r="D34" s="9" t="n">
        <v>166.3849440436896</v>
      </c>
      <c r="E34" s="9" t="n">
        <v>160.2567829766282</v>
      </c>
      <c r="F34" s="9" t="n">
        <v>160.2567829766282</v>
      </c>
    </row>
    <row r="35" ht="27" customHeight="true">
      <c r="A35" s="2" t="str">
        <v>普通PSO-BP</v>
      </c>
      <c r="B35" s="2" t="str">
        <v>SSP5</v>
      </c>
      <c r="C35" s="10" t="n">
        <v>2029</v>
      </c>
      <c r="D35" s="9" t="n">
        <v>166.89984393713286</v>
      </c>
      <c r="E35" s="9" t="n">
        <v>159.73829014177983</v>
      </c>
      <c r="F35" s="9" t="n">
        <v>159.73829014177983</v>
      </c>
    </row>
    <row r="36" ht="27" customHeight="true">
      <c r="A36" s="2" t="str">
        <v>普通PSO-BP</v>
      </c>
      <c r="B36" s="2" t="str">
        <v>SSP5</v>
      </c>
      <c r="C36" s="10" t="n">
        <v>2030</v>
      </c>
      <c r="D36" s="9" t="n">
        <v>167.50764706125136</v>
      </c>
      <c r="E36" s="9" t="n">
        <v>159.3291905299825</v>
      </c>
      <c r="F36" s="9" t="n">
        <v>159.3291905299825</v>
      </c>
    </row>
    <row r="37" ht="27" customHeight="true">
      <c r="A37" s="2" t="str">
        <v>受约束PSO-BP</v>
      </c>
      <c r="B37" s="2" t="str">
        <v>SSP1</v>
      </c>
      <c r="C37" s="10" t="n">
        <v>2024</v>
      </c>
      <c r="D37" s="9" t="n">
        <v>165.79461800691388</v>
      </c>
      <c r="E37" s="9" t="n">
        <v>162.8635922158798</v>
      </c>
      <c r="F37" s="9" t="n">
        <v>162.8635922158798</v>
      </c>
    </row>
    <row r="38" ht="27" customHeight="true">
      <c r="A38" s="2" t="str">
        <v>受约束PSO-BP</v>
      </c>
      <c r="B38" s="2" t="str">
        <v>SSP1</v>
      </c>
      <c r="C38" s="10" t="n">
        <v>2025</v>
      </c>
      <c r="D38" s="9" t="n">
        <v>166.61956525467303</v>
      </c>
      <c r="E38" s="9" t="n">
        <v>161.04318817262254</v>
      </c>
      <c r="F38" s="9" t="n">
        <v>161.04318817262254</v>
      </c>
    </row>
    <row r="39" ht="27" customHeight="true">
      <c r="A39" s="2" t="str">
        <v>受约束PSO-BP</v>
      </c>
      <c r="B39" s="2" t="str">
        <v>SSP1</v>
      </c>
      <c r="C39" s="10" t="n">
        <v>2026</v>
      </c>
      <c r="D39" s="9" t="n">
        <v>167.41132858483718</v>
      </c>
      <c r="E39" s="9" t="n">
        <v>159.46775750153864</v>
      </c>
      <c r="F39" s="9" t="n">
        <v>159.46775750153864</v>
      </c>
    </row>
    <row r="40" ht="27" customHeight="true">
      <c r="A40" s="2" t="str">
        <v>受约束PSO-BP</v>
      </c>
      <c r="B40" s="2" t="str">
        <v>SSP1</v>
      </c>
      <c r="C40" s="10" t="n">
        <v>2027</v>
      </c>
      <c r="D40" s="9" t="n">
        <v>168.20861648082803</v>
      </c>
      <c r="E40" s="9" t="n">
        <v>158.13324490088945</v>
      </c>
      <c r="F40" s="9" t="n">
        <v>158.13324490088945</v>
      </c>
    </row>
    <row r="41" ht="27" customHeight="true">
      <c r="A41" s="2" t="str">
        <v>受约束PSO-BP</v>
      </c>
      <c r="B41" s="2" t="str">
        <v>SSP1</v>
      </c>
      <c r="C41" s="10" t="n">
        <v>2028</v>
      </c>
      <c r="D41" s="9" t="n">
        <v>169.00659989692775</v>
      </c>
      <c r="E41" s="9" t="n">
        <v>157.0031161905349</v>
      </c>
      <c r="F41" s="9" t="n">
        <v>157.0031161905349</v>
      </c>
    </row>
    <row r="42" ht="27" customHeight="true">
      <c r="A42" s="2" t="str">
        <v>受约束PSO-BP</v>
      </c>
      <c r="B42" s="2" t="str">
        <v>SSP1</v>
      </c>
      <c r="C42" s="10" t="n">
        <v>2029</v>
      </c>
      <c r="D42" s="9" t="n">
        <v>169.80160827331565</v>
      </c>
      <c r="E42" s="9" t="n">
        <v>156.045109254085</v>
      </c>
      <c r="F42" s="9" t="n">
        <v>156.045109254085</v>
      </c>
    </row>
    <row r="43" ht="27" customHeight="true">
      <c r="A43" s="2" t="str">
        <v>受约束PSO-BP</v>
      </c>
      <c r="B43" s="2" t="str">
        <v>SSP1</v>
      </c>
      <c r="C43" s="10" t="n">
        <v>2030</v>
      </c>
      <c r="D43" s="9" t="n">
        <v>170.59081282760081</v>
      </c>
      <c r="E43" s="9" t="n">
        <v>155.2313474680863</v>
      </c>
      <c r="F43" s="9" t="n">
        <v>155.2313474680863</v>
      </c>
    </row>
    <row r="44" ht="27" customHeight="true">
      <c r="A44" s="2" t="str">
        <v>受约束PSO-BP</v>
      </c>
      <c r="B44" s="2" t="str">
        <v>SSP2</v>
      </c>
      <c r="C44" s="10" t="n">
        <v>2024</v>
      </c>
      <c r="D44" s="9" t="n">
        <v>165.76219287884362</v>
      </c>
      <c r="E44" s="9" t="n">
        <v>163.28242756791337</v>
      </c>
      <c r="F44" s="9" t="n">
        <v>163.28242756791337</v>
      </c>
    </row>
    <row r="45" ht="27" customHeight="true">
      <c r="A45" s="2" t="str">
        <v>受约束PSO-BP</v>
      </c>
      <c r="B45" s="2" t="str">
        <v>SSP2</v>
      </c>
      <c r="C45" s="10" t="n">
        <v>2025</v>
      </c>
      <c r="D45" s="9" t="n">
        <v>166.5511609973296</v>
      </c>
      <c r="E45" s="9" t="n">
        <v>161.7645200893029</v>
      </c>
      <c r="F45" s="9" t="n">
        <v>161.7645200893029</v>
      </c>
    </row>
    <row r="46" ht="27" customHeight="true">
      <c r="A46" s="2" t="str">
        <v>受约束PSO-BP</v>
      </c>
      <c r="B46" s="2" t="str">
        <v>SSP2</v>
      </c>
      <c r="C46" s="10" t="n">
        <v>2026</v>
      </c>
      <c r="D46" s="9" t="n">
        <v>167.3040280814306</v>
      </c>
      <c r="E46" s="9" t="n">
        <v>160.39298234864077</v>
      </c>
      <c r="F46" s="9" t="n">
        <v>160.39298234864077</v>
      </c>
    </row>
    <row r="47" ht="27" customHeight="true">
      <c r="A47" s="2" t="str">
        <v>受约束PSO-BP</v>
      </c>
      <c r="B47" s="2" t="str">
        <v>SSP2</v>
      </c>
      <c r="C47" s="10" t="n">
        <v>2027</v>
      </c>
      <c r="D47" s="9" t="n">
        <v>168.05984622948222</v>
      </c>
      <c r="E47" s="9" t="n">
        <v>159.1861124786597</v>
      </c>
      <c r="F47" s="9" t="n">
        <v>159.1861124786597</v>
      </c>
    </row>
    <row r="48" ht="27" customHeight="true">
      <c r="A48" s="2" t="str">
        <v>受约束PSO-BP</v>
      </c>
      <c r="B48" s="2" t="str">
        <v>SSP2</v>
      </c>
      <c r="C48" s="10" t="n">
        <v>2028</v>
      </c>
      <c r="D48" s="9" t="n">
        <v>168.81428065937746</v>
      </c>
      <c r="E48" s="9" t="n">
        <v>158.12598800785253</v>
      </c>
      <c r="F48" s="9" t="n">
        <v>158.12598800785253</v>
      </c>
    </row>
    <row r="49" ht="27" customHeight="true">
      <c r="A49" s="2" t="str">
        <v>受约束PSO-BP</v>
      </c>
      <c r="B49" s="2" t="str">
        <v>SSP2</v>
      </c>
      <c r="C49" s="10" t="n">
        <v>2029</v>
      </c>
      <c r="D49" s="9" t="n">
        <v>169.5641924188779</v>
      </c>
      <c r="E49" s="9" t="n">
        <v>157.19582171791558</v>
      </c>
      <c r="F49" s="9" t="n">
        <v>157.19582171791558</v>
      </c>
    </row>
    <row r="50" ht="27" customHeight="true">
      <c r="A50" s="2" t="str">
        <v>受约束PSO-BP</v>
      </c>
      <c r="B50" s="2" t="str">
        <v>SSP2</v>
      </c>
      <c r="C50" s="10" t="n">
        <v>2030</v>
      </c>
      <c r="D50" s="9" t="n">
        <v>170.3073006196978</v>
      </c>
      <c r="E50" s="9" t="n">
        <v>156.38003871508567</v>
      </c>
      <c r="F50" s="9" t="n">
        <v>156.38003871508567</v>
      </c>
    </row>
    <row r="51" ht="27" customHeight="true">
      <c r="A51" s="2" t="str">
        <v>受约束PSO-BP</v>
      </c>
      <c r="B51" s="2" t="str">
        <v>SSP3</v>
      </c>
      <c r="C51" s="10" t="n">
        <v>2024</v>
      </c>
      <c r="D51" s="9" t="n">
        <v>165.751338246699</v>
      </c>
      <c r="E51" s="9" t="n">
        <v>163.7343567364938</v>
      </c>
      <c r="F51" s="9" t="n">
        <v>163.7343567364938</v>
      </c>
    </row>
    <row r="52" ht="27" customHeight="true">
      <c r="A52" s="2" t="str">
        <v>受约束PSO-BP</v>
      </c>
      <c r="B52" s="2" t="str">
        <v>SSP3</v>
      </c>
      <c r="C52" s="10" t="n">
        <v>2025</v>
      </c>
      <c r="D52" s="9" t="n">
        <v>166.52203588507496</v>
      </c>
      <c r="E52" s="9" t="n">
        <v>162.5670995198696</v>
      </c>
      <c r="F52" s="9" t="n">
        <v>162.5670995198696</v>
      </c>
    </row>
    <row r="53" ht="27" customHeight="true">
      <c r="A53" s="2" t="str">
        <v>受约束PSO-BP</v>
      </c>
      <c r="B53" s="2" t="str">
        <v>SSP3</v>
      </c>
      <c r="C53" s="10" t="n">
        <v>2026</v>
      </c>
      <c r="D53" s="9" t="n">
        <v>167.24868824879763</v>
      </c>
      <c r="E53" s="9" t="n">
        <v>161.45460265600286</v>
      </c>
      <c r="F53" s="9" t="n">
        <v>161.45460265600286</v>
      </c>
    </row>
    <row r="54" ht="27" customHeight="true">
      <c r="A54" s="2" t="str">
        <v>受约束PSO-BP</v>
      </c>
      <c r="B54" s="2" t="str">
        <v>SSP3</v>
      </c>
      <c r="C54" s="10" t="n">
        <v>2027</v>
      </c>
      <c r="D54" s="9" t="n">
        <v>167.96981591521865</v>
      </c>
      <c r="E54" s="9" t="n">
        <v>160.4308145962077</v>
      </c>
      <c r="F54" s="9" t="n">
        <v>160.4308145962077</v>
      </c>
    </row>
    <row r="55" ht="27" customHeight="true">
      <c r="A55" s="2" t="str">
        <v>受约束PSO-BP</v>
      </c>
      <c r="B55" s="2" t="str">
        <v>SSP3</v>
      </c>
      <c r="C55" s="10" t="n">
        <v>2028</v>
      </c>
      <c r="D55" s="9" t="n">
        <v>168.68070984312817</v>
      </c>
      <c r="E55" s="9" t="n">
        <v>159.4915210413443</v>
      </c>
      <c r="F55" s="9" t="n">
        <v>159.4915210413443</v>
      </c>
    </row>
    <row r="56" ht="27" customHeight="true">
      <c r="A56" s="2" t="str">
        <v>受约束PSO-BP</v>
      </c>
      <c r="B56" s="2" t="str">
        <v>SSP3</v>
      </c>
      <c r="C56" s="10" t="n">
        <v>2029</v>
      </c>
      <c r="D56" s="9" t="n">
        <v>169.37799391899824</v>
      </c>
      <c r="E56" s="9" t="n">
        <v>158.6324758545794</v>
      </c>
      <c r="F56" s="9" t="n">
        <v>158.6324758545794</v>
      </c>
    </row>
    <row r="57" ht="27" customHeight="true">
      <c r="A57" s="2" t="str">
        <v>受约束PSO-BP</v>
      </c>
      <c r="B57" s="2" t="str">
        <v>SSP3</v>
      </c>
      <c r="C57" s="10" t="n">
        <v>2030</v>
      </c>
      <c r="D57" s="9" t="n">
        <v>170.05928150266976</v>
      </c>
      <c r="E57" s="9" t="n">
        <v>157.84910956385932</v>
      </c>
      <c r="F57" s="9" t="n">
        <v>157.84910956385932</v>
      </c>
    </row>
    <row r="58" ht="27" customHeight="true">
      <c r="A58" s="2" t="str">
        <v>受约束PSO-BP</v>
      </c>
      <c r="B58" s="2" t="str">
        <v>SSP4</v>
      </c>
      <c r="C58" s="10" t="n">
        <v>2024</v>
      </c>
      <c r="D58" s="9" t="n">
        <v>165.77010754936992</v>
      </c>
      <c r="E58" s="9" t="n">
        <v>163.28901914867663</v>
      </c>
      <c r="F58" s="9" t="n">
        <v>163.28901914867663</v>
      </c>
    </row>
    <row r="59" ht="27" customHeight="true">
      <c r="A59" s="2" t="str">
        <v>受约束PSO-BP</v>
      </c>
      <c r="B59" s="2" t="str">
        <v>SSP4</v>
      </c>
      <c r="C59" s="10" t="n">
        <v>2025</v>
      </c>
      <c r="D59" s="9" t="n">
        <v>166.56838959691083</v>
      </c>
      <c r="E59" s="9" t="n">
        <v>161.7764311222939</v>
      </c>
      <c r="F59" s="9" t="n">
        <v>161.7764311222939</v>
      </c>
    </row>
    <row r="60" ht="27" customHeight="true">
      <c r="A60" s="2" t="str">
        <v>受约束PSO-BP</v>
      </c>
      <c r="B60" s="2" t="str">
        <v>SSP4</v>
      </c>
      <c r="C60" s="10" t="n">
        <v>2026</v>
      </c>
      <c r="D60" s="9" t="n">
        <v>167.33182777788636</v>
      </c>
      <c r="E60" s="9" t="n">
        <v>160.40890750283802</v>
      </c>
      <c r="F60" s="9" t="n">
        <v>160.40890750283802</v>
      </c>
    </row>
    <row r="61" ht="27" customHeight="true">
      <c r="A61" s="2" t="str">
        <v>受约束PSO-BP</v>
      </c>
      <c r="B61" s="2" t="str">
        <v>SSP4</v>
      </c>
      <c r="C61" s="10" t="n">
        <v>2027</v>
      </c>
      <c r="D61" s="9" t="n">
        <v>168.0993696654641</v>
      </c>
      <c r="E61" s="9" t="n">
        <v>159.20487207102553</v>
      </c>
      <c r="F61" s="9" t="n">
        <v>159.20487207102553</v>
      </c>
    </row>
    <row r="62" ht="27" customHeight="true">
      <c r="A62" s="2" t="str">
        <v>受约束PSO-BP</v>
      </c>
      <c r="B62" s="2" t="str">
        <v>SSP4</v>
      </c>
      <c r="C62" s="10" t="n">
        <v>2028</v>
      </c>
      <c r="D62" s="9" t="n">
        <v>168.86652996261012</v>
      </c>
      <c r="E62" s="9" t="n">
        <v>158.14656167621354</v>
      </c>
      <c r="F62" s="9" t="n">
        <v>158.14656167621354</v>
      </c>
    </row>
    <row r="63" ht="27" customHeight="true">
      <c r="A63" s="2" t="str">
        <v>受约束PSO-BP</v>
      </c>
      <c r="B63" s="2" t="str">
        <v>SSP4</v>
      </c>
      <c r="C63" s="10" t="n">
        <v>2029</v>
      </c>
      <c r="D63" s="9" t="n">
        <v>169.6299935113102</v>
      </c>
      <c r="E63" s="9" t="n">
        <v>157.21736453655814</v>
      </c>
      <c r="F63" s="9" t="n">
        <v>157.21736453655814</v>
      </c>
    </row>
    <row r="64" ht="27" customHeight="true">
      <c r="A64" s="2" t="str">
        <v>受约束PSO-BP</v>
      </c>
      <c r="B64" s="2" t="str">
        <v>SSP4</v>
      </c>
      <c r="C64" s="10" t="n">
        <v>2030</v>
      </c>
      <c r="D64" s="9" t="n">
        <v>170.3872824637309</v>
      </c>
      <c r="E64" s="9" t="n">
        <v>156.40187662226396</v>
      </c>
      <c r="F64" s="9" t="n">
        <v>156.40187662226396</v>
      </c>
    </row>
    <row r="65" ht="27" customHeight="true">
      <c r="A65" s="2" t="str">
        <v>受约束PSO-BP</v>
      </c>
      <c r="B65" s="2" t="str">
        <v>SSP5</v>
      </c>
      <c r="C65" s="10" t="n">
        <v>2024</v>
      </c>
      <c r="D65" s="9" t="n">
        <v>165.8296535714935</v>
      </c>
      <c r="E65" s="9" t="n">
        <v>162.89169335686955</v>
      </c>
      <c r="F65" s="9" t="n">
        <v>162.89169335686955</v>
      </c>
    </row>
    <row r="66" ht="27" customHeight="true">
      <c r="A66" s="2" t="str">
        <v>受约束PSO-BP</v>
      </c>
      <c r="B66" s="2" t="str">
        <v>SSP5</v>
      </c>
      <c r="C66" s="10" t="n">
        <v>2025</v>
      </c>
      <c r="D66" s="9" t="n">
        <v>166.70173749098</v>
      </c>
      <c r="E66" s="9" t="n">
        <v>161.09579358930455</v>
      </c>
      <c r="F66" s="9" t="n">
        <v>161.09579358930455</v>
      </c>
    </row>
    <row r="67" ht="27" customHeight="true">
      <c r="A67" s="2" t="str">
        <v>受约束PSO-BP</v>
      </c>
      <c r="B67" s="2" t="str">
        <v>SSP5</v>
      </c>
      <c r="C67" s="10" t="n">
        <v>2026</v>
      </c>
      <c r="D67" s="9" t="n">
        <v>167.55297341359642</v>
      </c>
      <c r="E67" s="9" t="n">
        <v>159.5399984786086</v>
      </c>
      <c r="F67" s="9" t="n">
        <v>159.5399984786086</v>
      </c>
    </row>
    <row r="68" ht="27" customHeight="true">
      <c r="A68" s="2" t="str">
        <v>受约束PSO-BP</v>
      </c>
      <c r="B68" s="2" t="str">
        <v>SSP5</v>
      </c>
      <c r="C68" s="10" t="n">
        <v>2027</v>
      </c>
      <c r="D68" s="9" t="n">
        <v>168.42247904418923</v>
      </c>
      <c r="E68" s="9" t="n">
        <v>158.22023433708972</v>
      </c>
      <c r="F68" s="9" t="n">
        <v>158.22023433708972</v>
      </c>
    </row>
    <row r="69" ht="27" customHeight="true">
      <c r="A69" s="2" t="str">
        <v>受约束PSO-BP</v>
      </c>
      <c r="B69" s="2" t="str">
        <v>SSP5</v>
      </c>
      <c r="C69" s="10" t="n">
        <v>2028</v>
      </c>
      <c r="D69" s="9" t="n">
        <v>169.30557096989537</v>
      </c>
      <c r="E69" s="9" t="n">
        <v>157.10040170793343</v>
      </c>
      <c r="F69" s="9" t="n">
        <v>157.10040170793343</v>
      </c>
    </row>
    <row r="70" ht="27" customHeight="true">
      <c r="A70" s="2" t="str">
        <v>受约束PSO-BP</v>
      </c>
      <c r="B70" s="2" t="str">
        <v>SSP5</v>
      </c>
      <c r="C70" s="10" t="n">
        <v>2029</v>
      </c>
      <c r="D70" s="9" t="n">
        <v>170.19854328282725</v>
      </c>
      <c r="E70" s="9" t="n">
        <v>156.1489047191816</v>
      </c>
      <c r="F70" s="9" t="n">
        <v>156.1489047191816</v>
      </c>
    </row>
    <row r="71" ht="27" customHeight="true">
      <c r="A71" s="2" t="str">
        <v>受约束PSO-BP</v>
      </c>
      <c r="B71" s="2" t="str">
        <v>SSP5</v>
      </c>
      <c r="C71" s="10" t="n">
        <v>2030</v>
      </c>
      <c r="D71" s="9" t="n">
        <v>171.09836019258887</v>
      </c>
      <c r="E71" s="9" t="n">
        <v>155.33858441138386</v>
      </c>
      <c r="F71" s="9" t="n">
        <v>155.33858441138386</v>
      </c>
    </row>
    <row r="72" ht="27" customHeight="true">
      <c r="A72" s="2" t="str">
        <v>岭回归</v>
      </c>
      <c r="B72" s="2" t="str">
        <v>SSP1</v>
      </c>
      <c r="C72" s="10" t="n">
        <v>2024</v>
      </c>
      <c r="D72" s="9" t="n">
        <v>165.0928508761617</v>
      </c>
      <c r="E72" s="9" t="n">
        <v>164.6755270892261</v>
      </c>
      <c r="F72" s="9" t="n">
        <v>164.6755270892261</v>
      </c>
    </row>
    <row r="73" ht="27" customHeight="true">
      <c r="A73" s="2" t="str">
        <v>岭回归</v>
      </c>
      <c r="B73" s="2" t="str">
        <v>SSP1</v>
      </c>
      <c r="C73" s="10" t="n">
        <v>2025</v>
      </c>
      <c r="D73" s="9" t="n">
        <v>165.17942419731853</v>
      </c>
      <c r="E73" s="9" t="n">
        <v>164.36356533035618</v>
      </c>
      <c r="F73" s="9" t="n">
        <v>164.36356533035618</v>
      </c>
    </row>
    <row r="74" ht="27" customHeight="true">
      <c r="A74" s="2" t="str">
        <v>岭回归</v>
      </c>
      <c r="B74" s="2" t="str">
        <v>SSP1</v>
      </c>
      <c r="C74" s="10" t="n">
        <v>2026</v>
      </c>
      <c r="D74" s="9" t="n">
        <v>165.27587358569755</v>
      </c>
      <c r="E74" s="9" t="n">
        <v>164.08095501591683</v>
      </c>
      <c r="F74" s="9" t="n">
        <v>164.08095501591683</v>
      </c>
    </row>
    <row r="75" ht="27" customHeight="true">
      <c r="A75" s="2" t="str">
        <v>岭回归</v>
      </c>
      <c r="B75" s="2" t="str">
        <v>SSP1</v>
      </c>
      <c r="C75" s="10" t="n">
        <v>2027</v>
      </c>
      <c r="D75" s="9" t="n">
        <v>165.38862950321086</v>
      </c>
      <c r="E75" s="9" t="n">
        <v>163.8326846307664</v>
      </c>
      <c r="F75" s="9" t="n">
        <v>163.8326846307664</v>
      </c>
    </row>
    <row r="76" ht="27" customHeight="true">
      <c r="A76" s="2" t="str">
        <v>岭回归</v>
      </c>
      <c r="B76" s="2" t="str">
        <v>SSP1</v>
      </c>
      <c r="C76" s="10" t="n">
        <v>2028</v>
      </c>
      <c r="D76" s="9" t="n">
        <v>165.5158270592784</v>
      </c>
      <c r="E76" s="9" t="n">
        <v>163.6161062447978</v>
      </c>
      <c r="F76" s="9" t="n">
        <v>163.6161062447978</v>
      </c>
    </row>
    <row r="77" ht="27" customHeight="true">
      <c r="A77" s="2" t="str">
        <v>岭回归</v>
      </c>
      <c r="B77" s="2" t="str">
        <v>SSP1</v>
      </c>
      <c r="C77" s="10" t="n">
        <v>2029</v>
      </c>
      <c r="D77" s="9" t="n">
        <v>165.65597498594107</v>
      </c>
      <c r="E77" s="9" t="n">
        <v>163.42895709499962</v>
      </c>
      <c r="F77" s="9" t="n">
        <v>163.42895709499962</v>
      </c>
    </row>
    <row r="78" ht="27" customHeight="true">
      <c r="A78" s="2" t="str">
        <v>岭回归</v>
      </c>
      <c r="B78" s="2" t="str">
        <v>SSP1</v>
      </c>
      <c r="C78" s="10" t="n">
        <v>2030</v>
      </c>
      <c r="D78" s="9" t="n">
        <v>165.80785715546105</v>
      </c>
      <c r="E78" s="9" t="n">
        <v>163.26923841773342</v>
      </c>
      <c r="F78" s="9" t="n">
        <v>163.26923841773342</v>
      </c>
    </row>
    <row r="79" ht="27" customHeight="true">
      <c r="A79" s="2" t="str">
        <v>岭回归</v>
      </c>
      <c r="B79" s="2" t="str">
        <v>SSP2</v>
      </c>
      <c r="C79" s="10" t="n">
        <v>2024</v>
      </c>
      <c r="D79" s="9" t="n">
        <v>165.08830270312794</v>
      </c>
      <c r="E79" s="9" t="n">
        <v>164.73814219652544</v>
      </c>
      <c r="F79" s="9" t="n">
        <v>164.73814219652544</v>
      </c>
    </row>
    <row r="80" ht="27" customHeight="true">
      <c r="A80" s="2" t="str">
        <v>岭回归</v>
      </c>
      <c r="B80" s="2" t="str">
        <v>SSP2</v>
      </c>
      <c r="C80" s="10" t="n">
        <v>2025</v>
      </c>
      <c r="D80" s="9" t="n">
        <v>165.16651054304768</v>
      </c>
      <c r="E80" s="9" t="n">
        <v>164.47746298681332</v>
      </c>
      <c r="F80" s="9" t="n">
        <v>164.47746298681332</v>
      </c>
    </row>
    <row r="81" ht="27" customHeight="true">
      <c r="A81" s="2" t="str">
        <v>岭回归</v>
      </c>
      <c r="B81" s="2" t="str">
        <v>SSP2</v>
      </c>
      <c r="C81" s="10" t="n">
        <v>2026</v>
      </c>
      <c r="D81" s="9" t="n">
        <v>165.25062268319536</v>
      </c>
      <c r="E81" s="9" t="n">
        <v>164.23512345744481</v>
      </c>
      <c r="F81" s="9" t="n">
        <v>164.23512345744481</v>
      </c>
    </row>
    <row r="82" ht="27" customHeight="true">
      <c r="A82" s="2" t="str">
        <v>岭回归</v>
      </c>
      <c r="B82" s="2" t="str">
        <v>SSP2</v>
      </c>
      <c r="C82" s="10" t="n">
        <v>2027</v>
      </c>
      <c r="D82" s="9" t="n">
        <v>165.34688398861167</v>
      </c>
      <c r="E82" s="9" t="n">
        <v>164.01669084332477</v>
      </c>
      <c r="F82" s="9" t="n">
        <v>164.01669084332477</v>
      </c>
    </row>
    <row r="83" ht="27" customHeight="true">
      <c r="A83" s="2" t="str">
        <v>岭回归</v>
      </c>
      <c r="B83" s="2" t="str">
        <v>SSP2</v>
      </c>
      <c r="C83" s="10" t="n">
        <v>2028</v>
      </c>
      <c r="D83" s="9" t="n">
        <v>165.4532165781994</v>
      </c>
      <c r="E83" s="9" t="n">
        <v>163.8199176928882</v>
      </c>
      <c r="F83" s="9" t="n">
        <v>163.8199176928882</v>
      </c>
    </row>
    <row r="84" ht="27" customHeight="true">
      <c r="A84" s="2" t="str">
        <v>岭回归</v>
      </c>
      <c r="B84" s="2" t="str">
        <v>SSP2</v>
      </c>
      <c r="C84" s="10" t="n">
        <v>2029</v>
      </c>
      <c r="D84" s="9" t="n">
        <v>165.5679086915671</v>
      </c>
      <c r="E84" s="9" t="n">
        <v>163.64288868980796</v>
      </c>
      <c r="F84" s="9" t="n">
        <v>163.64288868980796</v>
      </c>
    </row>
    <row r="85" ht="27" customHeight="true">
      <c r="A85" s="2" t="str">
        <v>岭回归</v>
      </c>
      <c r="B85" s="2" t="str">
        <v>SSP2</v>
      </c>
      <c r="C85" s="10" t="n">
        <v>2030</v>
      </c>
      <c r="D85" s="9" t="n">
        <v>165.68952329777008</v>
      </c>
      <c r="E85" s="9" t="n">
        <v>163.48391141764793</v>
      </c>
      <c r="F85" s="9" t="n">
        <v>163.48391141764793</v>
      </c>
    </row>
    <row r="86" ht="27" customHeight="true">
      <c r="A86" s="2" t="str">
        <v>岭回归</v>
      </c>
      <c r="B86" s="2" t="str">
        <v>SSP3</v>
      </c>
      <c r="C86" s="10" t="n">
        <v>2024</v>
      </c>
      <c r="D86" s="9" t="n">
        <v>165.0874048487277</v>
      </c>
      <c r="E86" s="9" t="n">
        <v>164.8051519124671</v>
      </c>
      <c r="F86" s="9" t="n">
        <v>164.8051519124671</v>
      </c>
    </row>
    <row r="87" ht="27" customHeight="true">
      <c r="A87" s="2" t="str">
        <v>岭回归</v>
      </c>
      <c r="B87" s="2" t="str">
        <v>SSP3</v>
      </c>
      <c r="C87" s="10" t="n">
        <v>2025</v>
      </c>
      <c r="D87" s="9" t="n">
        <v>165.19329519672678</v>
      </c>
      <c r="E87" s="9" t="n">
        <v>164.6339059371347</v>
      </c>
      <c r="F87" s="9" t="n">
        <v>164.6339059371347</v>
      </c>
    </row>
    <row r="88" ht="27" customHeight="true">
      <c r="A88" s="2" t="str">
        <v>岭回归</v>
      </c>
      <c r="B88" s="2" t="str">
        <v>SSP3</v>
      </c>
      <c r="C88" s="10" t="n">
        <v>2026</v>
      </c>
      <c r="D88" s="9" t="n">
        <v>165.29969770586465</v>
      </c>
      <c r="E88" s="9" t="n">
        <v>164.46975060752155</v>
      </c>
      <c r="F88" s="9" t="n">
        <v>164.46975060752155</v>
      </c>
    </row>
    <row r="89" ht="27" customHeight="true">
      <c r="A89" s="2" t="str">
        <v>岭回归</v>
      </c>
      <c r="B89" s="2" t="str">
        <v>SSP3</v>
      </c>
      <c r="C89" s="10" t="n">
        <v>2027</v>
      </c>
      <c r="D89" s="9" t="n">
        <v>165.41280577854806</v>
      </c>
      <c r="E89" s="9" t="n">
        <v>164.31883057255286</v>
      </c>
      <c r="F89" s="9" t="n">
        <v>164.31883057255286</v>
      </c>
    </row>
    <row r="90" ht="27" customHeight="true">
      <c r="A90" s="2" t="str">
        <v>岭回归</v>
      </c>
      <c r="B90" s="2" t="str">
        <v>SSP3</v>
      </c>
      <c r="C90" s="10" t="n">
        <v>2028</v>
      </c>
      <c r="D90" s="9" t="n">
        <v>165.53044510079778</v>
      </c>
      <c r="E90" s="9" t="n">
        <v>164.17930716082512</v>
      </c>
      <c r="F90" s="9" t="n">
        <v>164.17930716082512</v>
      </c>
    </row>
    <row r="91" ht="27" customHeight="true">
      <c r="A91" s="2" t="str">
        <v>岭回归</v>
      </c>
      <c r="B91" s="2" t="str">
        <v>SSP3</v>
      </c>
      <c r="C91" s="10" t="n">
        <v>2029</v>
      </c>
      <c r="D91" s="9" t="n">
        <v>165.65078407970097</v>
      </c>
      <c r="E91" s="9" t="n">
        <v>164.04962858982887</v>
      </c>
      <c r="F91" s="9" t="n">
        <v>164.04962858982887</v>
      </c>
    </row>
    <row r="92" ht="27" customHeight="true">
      <c r="A92" s="2" t="str">
        <v>岭回归</v>
      </c>
      <c r="B92" s="2" t="str">
        <v>SSP3</v>
      </c>
      <c r="C92" s="10" t="n">
        <v>2030</v>
      </c>
      <c r="D92" s="9" t="n">
        <v>165.77224662082344</v>
      </c>
      <c r="E92" s="9" t="n">
        <v>163.9284257190471</v>
      </c>
      <c r="F92" s="9" t="n">
        <v>163.9284257190471</v>
      </c>
    </row>
    <row r="93" ht="27" customHeight="true">
      <c r="A93" s="2" t="str">
        <v>岭回归</v>
      </c>
      <c r="B93" s="2" t="str">
        <v>SSP4</v>
      </c>
      <c r="C93" s="10" t="n">
        <v>2024</v>
      </c>
      <c r="D93" s="9" t="n">
        <v>165.09215173689356</v>
      </c>
      <c r="E93" s="9" t="n">
        <v>164.74190482467114</v>
      </c>
      <c r="F93" s="9" t="n">
        <v>164.74190482467114</v>
      </c>
    </row>
    <row r="94" ht="27" customHeight="true">
      <c r="A94" s="2" t="str">
        <v>岭回归</v>
      </c>
      <c r="B94" s="2" t="str">
        <v>SSP4</v>
      </c>
      <c r="C94" s="10" t="n">
        <v>2025</v>
      </c>
      <c r="D94" s="9" t="n">
        <v>165.18055236138852</v>
      </c>
      <c r="E94" s="9" t="n">
        <v>164.49115373052663</v>
      </c>
      <c r="F94" s="9" t="n">
        <v>164.49115373052663</v>
      </c>
    </row>
    <row r="95" ht="27" customHeight="true">
      <c r="A95" s="2" t="str">
        <v>岭回归</v>
      </c>
      <c r="B95" s="2" t="str">
        <v>SSP4</v>
      </c>
      <c r="C95" s="10" t="n">
        <v>2026</v>
      </c>
      <c r="D95" s="9" t="n">
        <v>165.28129130321898</v>
      </c>
      <c r="E95" s="9" t="n">
        <v>164.26499585659278</v>
      </c>
      <c r="F95" s="9" t="n">
        <v>164.26499585659278</v>
      </c>
    </row>
    <row r="96" ht="27" customHeight="true">
      <c r="A96" s="2" t="str">
        <v>岭回归</v>
      </c>
      <c r="B96" s="2" t="str">
        <v>SSP4</v>
      </c>
      <c r="C96" s="10" t="n">
        <v>2027</v>
      </c>
      <c r="D96" s="9" t="n">
        <v>165.40075626007237</v>
      </c>
      <c r="E96" s="9" t="n">
        <v>164.0691448986207</v>
      </c>
      <c r="F96" s="9" t="n">
        <v>164.0691448986207</v>
      </c>
    </row>
    <row r="97" ht="27" customHeight="true">
      <c r="A97" s="2" t="str">
        <v>岭回归</v>
      </c>
      <c r="B97" s="2" t="str">
        <v>SSP4</v>
      </c>
      <c r="C97" s="10" t="n">
        <v>2028</v>
      </c>
      <c r="D97" s="9" t="n">
        <v>165.53697846191344</v>
      </c>
      <c r="E97" s="9" t="n">
        <v>163.90147135015891</v>
      </c>
      <c r="F97" s="9" t="n">
        <v>163.90147135015891</v>
      </c>
    </row>
    <row r="98" ht="27" customHeight="true">
      <c r="A98" s="2" t="str">
        <v>岭回归</v>
      </c>
      <c r="B98" s="2" t="str">
        <v>SSP4</v>
      </c>
      <c r="C98" s="10" t="n">
        <v>2029</v>
      </c>
      <c r="D98" s="9" t="n">
        <v>165.68834852943027</v>
      </c>
      <c r="E98" s="9" t="n">
        <v>163.76017543339773</v>
      </c>
      <c r="F98" s="9" t="n">
        <v>163.76017543339773</v>
      </c>
    </row>
    <row r="99" ht="27" customHeight="true">
      <c r="A99" s="2" t="str">
        <v>岭回归</v>
      </c>
      <c r="B99" s="2" t="str">
        <v>SSP4</v>
      </c>
      <c r="C99" s="10" t="n">
        <v>2030</v>
      </c>
      <c r="D99" s="9" t="n">
        <v>165.85352553993798</v>
      </c>
      <c r="E99" s="9" t="n">
        <v>163.6436775557889</v>
      </c>
      <c r="F99" s="9" t="n">
        <v>163.6436775557889</v>
      </c>
    </row>
    <row r="100" ht="27" customHeight="true">
      <c r="A100" s="2" t="str">
        <v>岭回归</v>
      </c>
      <c r="B100" s="2" t="str">
        <v>SSP5</v>
      </c>
      <c r="C100" s="10" t="n">
        <v>2024</v>
      </c>
      <c r="D100" s="9" t="n">
        <v>165.096520940884</v>
      </c>
      <c r="E100" s="9" t="n">
        <v>164.67874307258128</v>
      </c>
      <c r="F100" s="9" t="n">
        <v>164.67874307258128</v>
      </c>
    </row>
    <row r="101" ht="27" customHeight="true">
      <c r="A101" s="2" t="str">
        <v>岭回归</v>
      </c>
      <c r="B101" s="2" t="str">
        <v>SSP5</v>
      </c>
      <c r="C101" s="10" t="n">
        <v>2025</v>
      </c>
      <c r="D101" s="9" t="n">
        <v>165.15652672561905</v>
      </c>
      <c r="E101" s="9" t="n">
        <v>164.33870044991497</v>
      </c>
      <c r="F101" s="9" t="n">
        <v>164.33870044991497</v>
      </c>
    </row>
    <row r="102" ht="27" customHeight="true">
      <c r="A102" s="2" t="str">
        <v>岭回归</v>
      </c>
      <c r="B102" s="2" t="str">
        <v>SSP5</v>
      </c>
      <c r="C102" s="10" t="n">
        <v>2026</v>
      </c>
      <c r="D102" s="9" t="n">
        <v>165.23022462944996</v>
      </c>
      <c r="E102" s="9" t="n">
        <v>164.03058640067442</v>
      </c>
      <c r="F102" s="9" t="n">
        <v>164.03058640067442</v>
      </c>
    </row>
    <row r="103" ht="27" customHeight="true">
      <c r="A103" s="2" t="str">
        <v>岭回归</v>
      </c>
      <c r="B103" s="2" t="str">
        <v>SSP5</v>
      </c>
      <c r="C103" s="10" t="n">
        <v>2027</v>
      </c>
      <c r="D103" s="9" t="n">
        <v>165.3237962773064</v>
      </c>
      <c r="E103" s="9" t="n">
        <v>163.75900730476494</v>
      </c>
      <c r="F103" s="9" t="n">
        <v>163.75900730476494</v>
      </c>
    </row>
    <row r="104" ht="27" customHeight="true">
      <c r="A104" s="2" t="str">
        <v>岭回归</v>
      </c>
      <c r="B104" s="2" t="str">
        <v>SSP5</v>
      </c>
      <c r="C104" s="10" t="n">
        <v>2028</v>
      </c>
      <c r="D104" s="9" t="n">
        <v>165.43510427379428</v>
      </c>
      <c r="E104" s="9" t="n">
        <v>163.5209497166513</v>
      </c>
      <c r="F104" s="9" t="n">
        <v>163.5209497166513</v>
      </c>
    </row>
    <row r="105" ht="27" customHeight="true">
      <c r="A105" s="2" t="str">
        <v>岭回归</v>
      </c>
      <c r="B105" s="2" t="str">
        <v>SSP5</v>
      </c>
      <c r="C105" s="10" t="n">
        <v>2029</v>
      </c>
      <c r="D105" s="9" t="n">
        <v>165.5623731062411</v>
      </c>
      <c r="E105" s="9" t="n">
        <v>163.31380625514177</v>
      </c>
      <c r="F105" s="9" t="n">
        <v>163.31380625514177</v>
      </c>
    </row>
    <row r="106" ht="27" customHeight="true">
      <c r="A106" s="2" t="str">
        <v>岭回归</v>
      </c>
      <c r="B106" s="2" t="str">
        <v>SSP5</v>
      </c>
      <c r="C106" s="10" t="n">
        <v>2030</v>
      </c>
      <c r="D106" s="9" t="n">
        <v>165.70409728859576</v>
      </c>
      <c r="E106" s="9" t="n">
        <v>163.13525470951973</v>
      </c>
      <c r="F106" s="9" t="n">
        <v>163.13525470951973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="http://schemas.openxmlformats.org/spreadsheetml/2006/main" xmlns:mc="http://schemas.openxmlformats.org/markup-compatibility/2006" xmlns:x14ac="http://schemas.microsoft.com/office/spreadsheetml/2009/9/ac" mc:Ignorable="x14ac">
  <dimension ref="A1:E16"/>
  <sheetViews>
    <sheetView showGridLines="false" workbookViewId="0">
      <pane ySplit="1" topLeftCell="A2" activePane="bottomLeft" state="frozen"/>
    </sheetView>
  </sheetViews>
  <sheetFormatPr defaultRowHeight="15"/>
  <cols>
    <col min="1" max="1" width="27" hidden="false" customWidth="true"/>
    <col min="2" max="2" width="27" hidden="false" customWidth="true"/>
    <col min="3" max="3" width="22" hidden="false" customWidth="true"/>
    <col min="4" max="4" width="22" hidden="false" customWidth="true"/>
    <col min="5" max="5" width="22" hidden="false" customWidth="true"/>
  </cols>
  <sheetData>
    <row r="1" ht="48" customHeight="true">
      <c r="A1" s="8" t="str">
        <v>方法</v>
      </c>
      <c r="B1" s="8" t="str">
        <v>检查项</v>
      </c>
      <c r="C1" s="8" t="str">
        <v>反向/异常个数</v>
      </c>
      <c r="D1" s="8" t="str">
        <v>检查点个数</v>
      </c>
      <c r="E1" s="8" t="str">
        <v>驱动降低1%时最小预测降低量</v>
      </c>
    </row>
    <row r="2" ht="27" customHeight="true">
      <c r="A2" s="2" t="str">
        <v>普通PSO-BP</v>
      </c>
      <c r="B2" s="2" t="str">
        <v>农业驱动</v>
      </c>
      <c r="C2" s="10" t="n">
        <v>0</v>
      </c>
      <c r="D2" s="10" t="n">
        <v>105</v>
      </c>
      <c r="E2" s="9" t="n">
        <v>0.1931672508865745</v>
      </c>
    </row>
    <row r="3" ht="27" customHeight="true">
      <c r="A3" s="2" t="str">
        <v>普通PSO-BP</v>
      </c>
      <c r="B3" s="2" t="str">
        <v>工业驱动</v>
      </c>
      <c r="C3" s="10" t="n">
        <v>0</v>
      </c>
      <c r="D3" s="10" t="n">
        <v>105</v>
      </c>
      <c r="E3" s="9" t="n">
        <v>0.04210326097216921</v>
      </c>
    </row>
    <row r="4" ht="27" customHeight="true">
      <c r="A4" s="2" t="str">
        <v>普通PSO-BP</v>
      </c>
      <c r="B4" s="2" t="str">
        <v>人口城镇化驱动</v>
      </c>
      <c r="C4" s="10" t="n">
        <v>105</v>
      </c>
      <c r="D4" s="10" t="n">
        <v>105</v>
      </c>
      <c r="E4" s="9" t="n">
        <v>-2.067940233923423</v>
      </c>
    </row>
    <row r="5" ht="27" customHeight="true">
      <c r="A5" s="2" t="str">
        <v>受约束PSO-BP</v>
      </c>
      <c r="B5" s="2" t="str">
        <v>农业驱动</v>
      </c>
      <c r="C5" s="10" t="n">
        <v>0</v>
      </c>
      <c r="D5" s="10" t="n">
        <v>105</v>
      </c>
      <c r="E5" s="9" t="n">
        <v>0.10197773271045207</v>
      </c>
    </row>
    <row r="6" ht="27" customHeight="true">
      <c r="A6" s="2" t="str">
        <v>受约束PSO-BP</v>
      </c>
      <c r="B6" s="2" t="str">
        <v>工业驱动</v>
      </c>
      <c r="C6" s="10" t="n">
        <v>0</v>
      </c>
      <c r="D6" s="10" t="n">
        <v>105</v>
      </c>
      <c r="E6" s="9" t="n">
        <v>0.07243379235637804</v>
      </c>
    </row>
    <row r="7" ht="27" customHeight="true">
      <c r="A7" s="2" t="str">
        <v>受约束PSO-BP</v>
      </c>
      <c r="B7" s="2" t="str">
        <v>人口城镇化驱动</v>
      </c>
      <c r="C7" s="10" t="n">
        <v>0</v>
      </c>
      <c r="D7" s="10" t="n">
        <v>105</v>
      </c>
      <c r="E7" s="9" t="n">
        <v>3.128315597678011e-7</v>
      </c>
    </row>
    <row r="8" ht="27" customHeight="true">
      <c r="A8" s="2" t="str">
        <v>岭回归</v>
      </c>
      <c r="B8" s="2" t="str">
        <v>农业驱动</v>
      </c>
      <c r="C8" s="10" t="n">
        <v>0</v>
      </c>
      <c r="D8" s="10" t="n">
        <v>105</v>
      </c>
      <c r="E8" s="9" t="n">
        <v>0.07555850765783134</v>
      </c>
    </row>
    <row r="9" ht="27" customHeight="true">
      <c r="A9" s="2" t="str">
        <v>岭回归</v>
      </c>
      <c r="B9" s="2" t="str">
        <v>工业驱动</v>
      </c>
      <c r="C9" s="10" t="n">
        <v>0</v>
      </c>
      <c r="D9" s="10" t="n">
        <v>105</v>
      </c>
      <c r="E9" s="9" t="n">
        <v>0.01679938491855637</v>
      </c>
    </row>
    <row r="10" ht="27" customHeight="true">
      <c r="A10" s="2" t="str">
        <v>岭回归</v>
      </c>
      <c r="B10" s="2" t="str">
        <v>人口城镇化驱动</v>
      </c>
      <c r="C10" s="10" t="n">
        <v>105</v>
      </c>
      <c r="D10" s="10" t="n">
        <v>105</v>
      </c>
      <c r="E10" s="9" t="n">
        <v>-0.34548618974912415</v>
      </c>
    </row>
    <row r="11" ht="27" customHeight="true">
      <c r="A11" s="2" t="str">
        <v>普通PSO-BP</v>
      </c>
      <c r="B11" s="2" t="str">
        <v>节水三路径顺序</v>
      </c>
      <c r="C11" s="10" t="n">
        <v>0</v>
      </c>
      <c r="D11" s="10" t="n">
        <v>35</v>
      </c>
      <c r="E11" s="9"/>
    </row>
    <row r="12" ht="27" customHeight="true">
      <c r="A12" s="2" t="str">
        <v>普通PSO-BP</v>
      </c>
      <c r="B12" s="2" t="str">
        <v>非正需水预测</v>
      </c>
      <c r="C12" s="10" t="n">
        <v>0</v>
      </c>
      <c r="D12" s="10" t="n">
        <v>105</v>
      </c>
      <c r="E12" s="9"/>
    </row>
    <row r="13" ht="27" customHeight="true">
      <c r="A13" s="2" t="str">
        <v>受约束PSO-BP</v>
      </c>
      <c r="B13" s="2" t="str">
        <v>节水三路径顺序</v>
      </c>
      <c r="C13" s="10" t="n">
        <v>0</v>
      </c>
      <c r="D13" s="10" t="n">
        <v>35</v>
      </c>
      <c r="E13" s="9"/>
    </row>
    <row r="14" ht="27" customHeight="true">
      <c r="A14" s="2" t="str">
        <v>受约束PSO-BP</v>
      </c>
      <c r="B14" s="2" t="str">
        <v>非正需水预测</v>
      </c>
      <c r="C14" s="10" t="n">
        <v>0</v>
      </c>
      <c r="D14" s="10" t="n">
        <v>105</v>
      </c>
      <c r="E14" s="9"/>
    </row>
    <row r="15" ht="27" customHeight="true">
      <c r="A15" s="2" t="str">
        <v>岭回归</v>
      </c>
      <c r="B15" s="2" t="str">
        <v>节水三路径顺序</v>
      </c>
      <c r="C15" s="10" t="n">
        <v>0</v>
      </c>
      <c r="D15" s="10" t="n">
        <v>35</v>
      </c>
      <c r="E15" s="9"/>
    </row>
    <row r="16" ht="27" customHeight="true">
      <c r="A16" s="2" t="str">
        <v>岭回归</v>
      </c>
      <c r="B16" s="2" t="str">
        <v>非正需水预测</v>
      </c>
      <c r="C16" s="10" t="n">
        <v>0</v>
      </c>
      <c r="D16" s="10" t="n">
        <v>105</v>
      </c>
      <c r="E16" s="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="http://schemas.openxmlformats.org/spreadsheetml/2006/main" xmlns:mc="http://schemas.openxmlformats.org/markup-compatibility/2006" xmlns:x14ac="http://schemas.microsoft.com/office/spreadsheetml/2009/9/ac" mc:Ignorable="x14ac">
  <dimension ref="A1:E71"/>
  <sheetViews>
    <sheetView showGridLines="false" workbookViewId="0">
      <pane ySplit="1" topLeftCell="A2" activePane="bottomLeft" state="frozen"/>
    </sheetView>
  </sheetViews>
  <sheetFormatPr defaultRowHeight="15"/>
  <cols>
    <col min="1" max="1" width="22" hidden="false" customWidth="true"/>
    <col min="2" max="2" width="22" hidden="false" customWidth="true"/>
    <col min="3" max="3" width="22" hidden="false" customWidth="true"/>
    <col min="4" max="4" width="22" hidden="false" customWidth="true"/>
    <col min="5" max="5" width="22" hidden="false" customWidth="true"/>
  </cols>
  <sheetData>
    <row r="1" ht="48" customHeight="true">
      <c r="A1" s="8" t="str">
        <v>方法</v>
      </c>
      <c r="B1" s="8" t="str">
        <v>本次训练截止年</v>
      </c>
      <c r="C1" s="8" t="str">
        <v>正则化参数</v>
      </c>
      <c r="D1" s="8" t="str">
        <v>训练期内验证MAPE（%）</v>
      </c>
      <c r="E1" s="8" t="str">
        <v>内验证范围</v>
      </c>
    </row>
    <row r="2" ht="27" customHeight="true">
      <c r="A2" s="2" t="str">
        <v>普通PSO-BP</v>
      </c>
      <c r="B2" s="10" t="n">
        <v>2019</v>
      </c>
      <c r="C2" s="9" t="n">
        <v>0.0001</v>
      </c>
      <c r="D2" s="9" t="n">
        <v>7.078436368934024</v>
      </c>
      <c r="E2" s="2" t="str">
        <v>2017—2019逐年内验证</v>
      </c>
    </row>
    <row r="3" ht="27" customHeight="true">
      <c r="A3" s="2" t="str">
        <v>普通PSO-BP</v>
      </c>
      <c r="B3" s="10" t="n">
        <v>2019</v>
      </c>
      <c r="C3" s="9" t="n">
        <v>0.001</v>
      </c>
      <c r="D3" s="9" t="n">
        <v>5.943949141270298</v>
      </c>
      <c r="E3" s="2" t="str">
        <v>2017—2019逐年内验证</v>
      </c>
    </row>
    <row r="4" ht="27" customHeight="true">
      <c r="A4" s="2" t="str">
        <v>普通PSO-BP</v>
      </c>
      <c r="B4" s="10" t="n">
        <v>2019</v>
      </c>
      <c r="C4" s="9" t="n">
        <v>0.01</v>
      </c>
      <c r="D4" s="9" t="n">
        <v>7.182231953527008</v>
      </c>
      <c r="E4" s="2" t="str">
        <v>2017—2019逐年内验证</v>
      </c>
    </row>
    <row r="5" ht="27" customHeight="true">
      <c r="A5" s="2" t="str">
        <v>普通PSO-BP</v>
      </c>
      <c r="B5" s="10" t="n">
        <v>2020</v>
      </c>
      <c r="C5" s="9" t="n">
        <v>0.0001</v>
      </c>
      <c r="D5" s="9" t="n">
        <v>12.217273608225648</v>
      </c>
      <c r="E5" s="2" t="str">
        <v>2018—2020逐年内验证</v>
      </c>
    </row>
    <row r="6" ht="27" customHeight="true">
      <c r="A6" s="2" t="str">
        <v>普通PSO-BP</v>
      </c>
      <c r="B6" s="10" t="n">
        <v>2020</v>
      </c>
      <c r="C6" s="9" t="n">
        <v>0.001</v>
      </c>
      <c r="D6" s="9" t="n">
        <v>11.333415756725353</v>
      </c>
      <c r="E6" s="2" t="str">
        <v>2018—2020逐年内验证</v>
      </c>
    </row>
    <row r="7" ht="27" customHeight="true">
      <c r="A7" s="2" t="str">
        <v>普通PSO-BP</v>
      </c>
      <c r="B7" s="10" t="n">
        <v>2020</v>
      </c>
      <c r="C7" s="9" t="n">
        <v>0.01</v>
      </c>
      <c r="D7" s="9" t="n">
        <v>6.4476569450497445</v>
      </c>
      <c r="E7" s="2" t="str">
        <v>2018—2020逐年内验证</v>
      </c>
    </row>
    <row r="8" ht="27" customHeight="true">
      <c r="A8" s="2" t="str">
        <v>普通PSO-BP</v>
      </c>
      <c r="B8" s="10" t="n">
        <v>2021</v>
      </c>
      <c r="C8" s="9" t="n">
        <v>0.0001</v>
      </c>
      <c r="D8" s="9" t="n">
        <v>7.693897803785821</v>
      </c>
      <c r="E8" s="2" t="str">
        <v>2019—2021逐年内验证</v>
      </c>
    </row>
    <row r="9" ht="27" customHeight="true">
      <c r="A9" s="2" t="str">
        <v>普通PSO-BP</v>
      </c>
      <c r="B9" s="10" t="n">
        <v>2021</v>
      </c>
      <c r="C9" s="9" t="n">
        <v>0.001</v>
      </c>
      <c r="D9" s="9" t="n">
        <v>9.33382197172886</v>
      </c>
      <c r="E9" s="2" t="str">
        <v>2019—2021逐年内验证</v>
      </c>
    </row>
    <row r="10" ht="27" customHeight="true">
      <c r="A10" s="2" t="str">
        <v>普通PSO-BP</v>
      </c>
      <c r="B10" s="10" t="n">
        <v>2021</v>
      </c>
      <c r="C10" s="9" t="n">
        <v>0.01</v>
      </c>
      <c r="D10" s="9" t="n">
        <v>2.3850944419801436</v>
      </c>
      <c r="E10" s="2" t="str">
        <v>2019—2021逐年内验证</v>
      </c>
    </row>
    <row r="11" ht="27" customHeight="true">
      <c r="A11" s="2" t="str">
        <v>普通PSO-BP</v>
      </c>
      <c r="B11" s="10" t="n">
        <v>2022</v>
      </c>
      <c r="C11" s="9" t="n">
        <v>0.0001</v>
      </c>
      <c r="D11" s="9" t="n">
        <v>7.828504568757921</v>
      </c>
      <c r="E11" s="2" t="str">
        <v>2020—2022逐年内验证</v>
      </c>
    </row>
    <row r="12" ht="27" customHeight="true">
      <c r="A12" s="2" t="str">
        <v>普通PSO-BP</v>
      </c>
      <c r="B12" s="10" t="n">
        <v>2022</v>
      </c>
      <c r="C12" s="9" t="n">
        <v>0.001</v>
      </c>
      <c r="D12" s="9" t="n">
        <v>9.10182340082959</v>
      </c>
      <c r="E12" s="2" t="str">
        <v>2020—2022逐年内验证</v>
      </c>
    </row>
    <row r="13" ht="27" customHeight="true">
      <c r="A13" s="2" t="str">
        <v>普通PSO-BP</v>
      </c>
      <c r="B13" s="10" t="n">
        <v>2022</v>
      </c>
      <c r="C13" s="9" t="n">
        <v>0.01</v>
      </c>
      <c r="D13" s="9" t="n">
        <v>0.9453160220768734</v>
      </c>
      <c r="E13" s="2" t="str">
        <v>2020—2022逐年内验证</v>
      </c>
    </row>
    <row r="14" ht="27" customHeight="true">
      <c r="A14" s="2" t="str">
        <v>受约束PSO-BP</v>
      </c>
      <c r="B14" s="10" t="n">
        <v>2019</v>
      </c>
      <c r="C14" s="9" t="n">
        <v>0.0001</v>
      </c>
      <c r="D14" s="9" t="n">
        <v>5.185506761775653</v>
      </c>
      <c r="E14" s="2" t="str">
        <v>2017—2019逐年内验证</v>
      </c>
    </row>
    <row r="15" ht="27" customHeight="true">
      <c r="A15" s="2" t="str">
        <v>受约束PSO-BP</v>
      </c>
      <c r="B15" s="10" t="n">
        <v>2019</v>
      </c>
      <c r="C15" s="9" t="n">
        <v>0.001</v>
      </c>
      <c r="D15" s="9" t="n">
        <v>5.582160295156135</v>
      </c>
      <c r="E15" s="2" t="str">
        <v>2017—2019逐年内验证</v>
      </c>
    </row>
    <row r="16" ht="27" customHeight="true">
      <c r="A16" s="2" t="str">
        <v>受约束PSO-BP</v>
      </c>
      <c r="B16" s="10" t="n">
        <v>2019</v>
      </c>
      <c r="C16" s="9" t="n">
        <v>0.01</v>
      </c>
      <c r="D16" s="9" t="n">
        <v>7.690028292758206</v>
      </c>
      <c r="E16" s="2" t="str">
        <v>2017—2019逐年内验证</v>
      </c>
    </row>
    <row r="17" ht="27" customHeight="true">
      <c r="A17" s="2" t="str">
        <v>受约束PSO-BP</v>
      </c>
      <c r="B17" s="10" t="n">
        <v>2020</v>
      </c>
      <c r="C17" s="9" t="n">
        <v>0.0001</v>
      </c>
      <c r="D17" s="9" t="n">
        <v>6.753714041198871</v>
      </c>
      <c r="E17" s="2" t="str">
        <v>2018—2020逐年内验证</v>
      </c>
    </row>
    <row r="18" ht="27" customHeight="true">
      <c r="A18" s="2" t="str">
        <v>受约束PSO-BP</v>
      </c>
      <c r="B18" s="10" t="n">
        <v>2020</v>
      </c>
      <c r="C18" s="9" t="n">
        <v>0.001</v>
      </c>
      <c r="D18" s="9" t="n">
        <v>6.995319677068578</v>
      </c>
      <c r="E18" s="2" t="str">
        <v>2018—2020逐年内验证</v>
      </c>
    </row>
    <row r="19" ht="27" customHeight="true">
      <c r="A19" s="2" t="str">
        <v>受约束PSO-BP</v>
      </c>
      <c r="B19" s="10" t="n">
        <v>2020</v>
      </c>
      <c r="C19" s="9" t="n">
        <v>0.01</v>
      </c>
      <c r="D19" s="9" t="n">
        <v>8.814647186060794</v>
      </c>
      <c r="E19" s="2" t="str">
        <v>2018—2020逐年内验证</v>
      </c>
    </row>
    <row r="20" ht="27" customHeight="true">
      <c r="A20" s="2" t="str">
        <v>受约束PSO-BP</v>
      </c>
      <c r="B20" s="10" t="n">
        <v>2021</v>
      </c>
      <c r="C20" s="9" t="n">
        <v>0.0001</v>
      </c>
      <c r="D20" s="9" t="n">
        <v>14.627760140307656</v>
      </c>
      <c r="E20" s="2" t="str">
        <v>2019—2021逐年内验证</v>
      </c>
    </row>
    <row r="21" ht="27" customHeight="true">
      <c r="A21" s="2" t="str">
        <v>受约束PSO-BP</v>
      </c>
      <c r="B21" s="10" t="n">
        <v>2021</v>
      </c>
      <c r="C21" s="9" t="n">
        <v>0.001</v>
      </c>
      <c r="D21" s="9" t="n">
        <v>4.587228645112674</v>
      </c>
      <c r="E21" s="2" t="str">
        <v>2019—2021逐年内验证</v>
      </c>
    </row>
    <row r="22" ht="27" customHeight="true">
      <c r="A22" s="2" t="str">
        <v>受约束PSO-BP</v>
      </c>
      <c r="B22" s="10" t="n">
        <v>2021</v>
      </c>
      <c r="C22" s="9" t="n">
        <v>0.01</v>
      </c>
      <c r="D22" s="9" t="n">
        <v>4.398237402235094</v>
      </c>
      <c r="E22" s="2" t="str">
        <v>2019—2021逐年内验证</v>
      </c>
    </row>
    <row r="23" ht="27" customHeight="true">
      <c r="A23" s="2" t="str">
        <v>受约束PSO-BP</v>
      </c>
      <c r="B23" s="10" t="n">
        <v>2022</v>
      </c>
      <c r="C23" s="9" t="n">
        <v>0.0001</v>
      </c>
      <c r="D23" s="9" t="n">
        <v>14.477837606799111</v>
      </c>
      <c r="E23" s="2" t="str">
        <v>2020—2022逐年内验证</v>
      </c>
    </row>
    <row r="24" ht="27" customHeight="true">
      <c r="A24" s="2" t="str">
        <v>受约束PSO-BP</v>
      </c>
      <c r="B24" s="10" t="n">
        <v>2022</v>
      </c>
      <c r="C24" s="9" t="n">
        <v>0.001</v>
      </c>
      <c r="D24" s="9" t="n">
        <v>4.010606850695371</v>
      </c>
      <c r="E24" s="2" t="str">
        <v>2020—2022逐年内验证</v>
      </c>
    </row>
    <row r="25" ht="27" customHeight="true">
      <c r="A25" s="2" t="str">
        <v>受约束PSO-BP</v>
      </c>
      <c r="B25" s="10" t="n">
        <v>2022</v>
      </c>
      <c r="C25" s="9" t="n">
        <v>0.01</v>
      </c>
      <c r="D25" s="9" t="n">
        <v>2.542910443388005</v>
      </c>
      <c r="E25" s="2" t="str">
        <v>2020—2022逐年内验证</v>
      </c>
    </row>
    <row r="26" ht="27" customHeight="true">
      <c r="A26" s="2" t="str">
        <v>岭回归</v>
      </c>
      <c r="B26" s="10" t="n">
        <v>2019</v>
      </c>
      <c r="C26" s="9" t="n">
        <v>0.00001</v>
      </c>
      <c r="D26" s="9" t="n">
        <v>7.867482418997582</v>
      </c>
      <c r="E26" s="2" t="str">
        <v>2017—2019逐年内验证</v>
      </c>
    </row>
    <row r="27" ht="27" customHeight="true">
      <c r="A27" s="2" t="str">
        <v>岭回归</v>
      </c>
      <c r="B27" s="10" t="n">
        <v>2019</v>
      </c>
      <c r="C27" s="9" t="n">
        <v>0.0001</v>
      </c>
      <c r="D27" s="9" t="n">
        <v>7.867067971599327</v>
      </c>
      <c r="E27" s="2" t="str">
        <v>2017—2019逐年内验证</v>
      </c>
    </row>
    <row r="28" ht="27" customHeight="true">
      <c r="A28" s="2" t="str">
        <v>岭回归</v>
      </c>
      <c r="B28" s="10" t="n">
        <v>2019</v>
      </c>
      <c r="C28" s="9" t="n">
        <v>0.001</v>
      </c>
      <c r="D28" s="9" t="n">
        <v>7.8630139555060525</v>
      </c>
      <c r="E28" s="2" t="str">
        <v>2017—2019逐年内验证</v>
      </c>
    </row>
    <row r="29" ht="27" customHeight="true">
      <c r="A29" s="2" t="str">
        <v>岭回归</v>
      </c>
      <c r="B29" s="10" t="n">
        <v>2019</v>
      </c>
      <c r="C29" s="9" t="n">
        <v>0.01</v>
      </c>
      <c r="D29" s="9" t="n">
        <v>7.830318337275476</v>
      </c>
      <c r="E29" s="2" t="str">
        <v>2017—2019逐年内验证</v>
      </c>
    </row>
    <row r="30" ht="27" customHeight="true">
      <c r="A30" s="2" t="str">
        <v>岭回归</v>
      </c>
      <c r="B30" s="10" t="n">
        <v>2019</v>
      </c>
      <c r="C30" s="9" t="n">
        <v>0.1</v>
      </c>
      <c r="D30" s="9" t="n">
        <v>7.7908151655148155</v>
      </c>
      <c r="E30" s="2" t="str">
        <v>2017—2019逐年内验证</v>
      </c>
    </row>
    <row r="31" ht="27" customHeight="true">
      <c r="A31" s="2" t="str">
        <v>岭回归</v>
      </c>
      <c r="B31" s="10" t="n">
        <v>2019</v>
      </c>
      <c r="C31" s="9" t="n">
        <v>1</v>
      </c>
      <c r="D31" s="9" t="n">
        <v>8.029639584751575</v>
      </c>
      <c r="E31" s="2" t="str">
        <v>2017—2019逐年内验证</v>
      </c>
    </row>
    <row r="32" ht="27" customHeight="true">
      <c r="A32" s="2" t="str">
        <v>岭回归</v>
      </c>
      <c r="B32" s="10" t="n">
        <v>2019</v>
      </c>
      <c r="C32" s="9" t="n">
        <v>10</v>
      </c>
      <c r="D32" s="9" t="n">
        <v>8.126375208947842</v>
      </c>
      <c r="E32" s="2" t="str">
        <v>2017—2019逐年内验证</v>
      </c>
    </row>
    <row r="33" ht="27" customHeight="true">
      <c r="A33" s="2" t="str">
        <v>岭回归</v>
      </c>
      <c r="B33" s="10" t="n">
        <v>2019</v>
      </c>
      <c r="C33" s="9" t="n">
        <v>100</v>
      </c>
      <c r="D33" s="9" t="n">
        <v>8.138339072330725</v>
      </c>
      <c r="E33" s="2" t="str">
        <v>2017—2019逐年内验证</v>
      </c>
    </row>
    <row r="34" ht="27" customHeight="true">
      <c r="A34" s="2" t="str">
        <v>岭回归</v>
      </c>
      <c r="B34" s="10" t="n">
        <v>2020</v>
      </c>
      <c r="C34" s="9" t="n">
        <v>0.00001</v>
      </c>
      <c r="D34" s="9" t="n">
        <v>7.365092365790438</v>
      </c>
      <c r="E34" s="2" t="str">
        <v>2018—2020逐年内验证</v>
      </c>
    </row>
    <row r="35" ht="27" customHeight="true">
      <c r="A35" s="2" t="str">
        <v>岭回归</v>
      </c>
      <c r="B35" s="10" t="n">
        <v>2020</v>
      </c>
      <c r="C35" s="9" t="n">
        <v>0.0001</v>
      </c>
      <c r="D35" s="9" t="n">
        <v>7.367163815681479</v>
      </c>
      <c r="E35" s="2" t="str">
        <v>2018—2020逐年内验证</v>
      </c>
    </row>
    <row r="36" ht="27" customHeight="true">
      <c r="A36" s="2" t="str">
        <v>岭回归</v>
      </c>
      <c r="B36" s="10" t="n">
        <v>2020</v>
      </c>
      <c r="C36" s="9" t="n">
        <v>0.001</v>
      </c>
      <c r="D36" s="9" t="n">
        <v>7.3876433210837185</v>
      </c>
      <c r="E36" s="2" t="str">
        <v>2018—2020逐年内验证</v>
      </c>
    </row>
    <row r="37" ht="27" customHeight="true">
      <c r="A37" s="2" t="str">
        <v>岭回归</v>
      </c>
      <c r="B37" s="10" t="n">
        <v>2020</v>
      </c>
      <c r="C37" s="9" t="n">
        <v>0.01</v>
      </c>
      <c r="D37" s="9" t="n">
        <v>7.571520350667561</v>
      </c>
      <c r="E37" s="2" t="str">
        <v>2018—2020逐年内验证</v>
      </c>
    </row>
    <row r="38" ht="27" customHeight="true">
      <c r="A38" s="2" t="str">
        <v>岭回归</v>
      </c>
      <c r="B38" s="10" t="n">
        <v>2020</v>
      </c>
      <c r="C38" s="9" t="n">
        <v>0.1</v>
      </c>
      <c r="D38" s="9" t="n">
        <v>8.455995773776623</v>
      </c>
      <c r="E38" s="2" t="str">
        <v>2018—2020逐年内验证</v>
      </c>
    </row>
    <row r="39" ht="27" customHeight="true">
      <c r="A39" s="2" t="str">
        <v>岭回归</v>
      </c>
      <c r="B39" s="10" t="n">
        <v>2020</v>
      </c>
      <c r="C39" s="9" t="n">
        <v>1</v>
      </c>
      <c r="D39" s="9" t="n">
        <v>9.332877611239041</v>
      </c>
      <c r="E39" s="2" t="str">
        <v>2018—2020逐年内验证</v>
      </c>
    </row>
    <row r="40" ht="27" customHeight="true">
      <c r="A40" s="2" t="str">
        <v>岭回归</v>
      </c>
      <c r="B40" s="10" t="n">
        <v>2020</v>
      </c>
      <c r="C40" s="9" t="n">
        <v>10</v>
      </c>
      <c r="D40" s="9" t="n">
        <v>9.513821218334757</v>
      </c>
      <c r="E40" s="2" t="str">
        <v>2018—2020逐年内验证</v>
      </c>
    </row>
    <row r="41" ht="27" customHeight="true">
      <c r="A41" s="2" t="str">
        <v>岭回归</v>
      </c>
      <c r="B41" s="10" t="n">
        <v>2020</v>
      </c>
      <c r="C41" s="9" t="n">
        <v>100</v>
      </c>
      <c r="D41" s="9" t="n">
        <v>9.533964218672828</v>
      </c>
      <c r="E41" s="2" t="str">
        <v>2018—2020逐年内验证</v>
      </c>
    </row>
    <row r="42" ht="27" customHeight="true">
      <c r="A42" s="2" t="str">
        <v>岭回归</v>
      </c>
      <c r="B42" s="10" t="n">
        <v>2021</v>
      </c>
      <c r="C42" s="9" t="n">
        <v>0.00001</v>
      </c>
      <c r="D42" s="9" t="n">
        <v>3.5739454717087535</v>
      </c>
      <c r="E42" s="2" t="str">
        <v>2019—2021逐年内验证</v>
      </c>
    </row>
    <row r="43" ht="27" customHeight="true">
      <c r="A43" s="2" t="str">
        <v>岭回归</v>
      </c>
      <c r="B43" s="10" t="n">
        <v>2021</v>
      </c>
      <c r="C43" s="9" t="n">
        <v>0.0001</v>
      </c>
      <c r="D43" s="9" t="n">
        <v>3.5751785557010636</v>
      </c>
      <c r="E43" s="2" t="str">
        <v>2019—2021逐年内验证</v>
      </c>
    </row>
    <row r="44" ht="27" customHeight="true">
      <c r="A44" s="2" t="str">
        <v>岭回归</v>
      </c>
      <c r="B44" s="10" t="n">
        <v>2021</v>
      </c>
      <c r="C44" s="9" t="n">
        <v>0.001</v>
      </c>
      <c r="D44" s="9" t="n">
        <v>3.587267393484062</v>
      </c>
      <c r="E44" s="2" t="str">
        <v>2019—2021逐年内验证</v>
      </c>
    </row>
    <row r="45" ht="27" customHeight="true">
      <c r="A45" s="2" t="str">
        <v>岭回归</v>
      </c>
      <c r="B45" s="10" t="n">
        <v>2021</v>
      </c>
      <c r="C45" s="9" t="n">
        <v>0.01</v>
      </c>
      <c r="D45" s="9" t="n">
        <v>3.6874613514893704</v>
      </c>
      <c r="E45" s="2" t="str">
        <v>2019—2021逐年内验证</v>
      </c>
    </row>
    <row r="46" ht="27" customHeight="true">
      <c r="A46" s="2" t="str">
        <v>岭回归</v>
      </c>
      <c r="B46" s="10" t="n">
        <v>2021</v>
      </c>
      <c r="C46" s="9" t="n">
        <v>0.1</v>
      </c>
      <c r="D46" s="9" t="n">
        <v>3.951097085467593</v>
      </c>
      <c r="E46" s="2" t="str">
        <v>2019—2021逐年内验证</v>
      </c>
    </row>
    <row r="47" ht="27" customHeight="true">
      <c r="A47" s="2" t="str">
        <v>岭回归</v>
      </c>
      <c r="B47" s="10" t="n">
        <v>2021</v>
      </c>
      <c r="C47" s="9" t="n">
        <v>1</v>
      </c>
      <c r="D47" s="9" t="n">
        <v>4.35083835511023</v>
      </c>
      <c r="E47" s="2" t="str">
        <v>2019—2021逐年内验证</v>
      </c>
    </row>
    <row r="48" ht="27" customHeight="true">
      <c r="A48" s="2" t="str">
        <v>岭回归</v>
      </c>
      <c r="B48" s="10" t="n">
        <v>2021</v>
      </c>
      <c r="C48" s="9" t="n">
        <v>10</v>
      </c>
      <c r="D48" s="9" t="n">
        <v>4.661881727958853</v>
      </c>
      <c r="E48" s="2" t="str">
        <v>2019—2021逐年内验证</v>
      </c>
    </row>
    <row r="49" ht="27" customHeight="true">
      <c r="A49" s="2" t="str">
        <v>岭回归</v>
      </c>
      <c r="B49" s="10" t="n">
        <v>2021</v>
      </c>
      <c r="C49" s="9" t="n">
        <v>100</v>
      </c>
      <c r="D49" s="9" t="n">
        <v>4.697134933020863</v>
      </c>
      <c r="E49" s="2" t="str">
        <v>2019—2021逐年内验证</v>
      </c>
    </row>
    <row r="50" ht="27" customHeight="true">
      <c r="A50" s="2" t="str">
        <v>岭回归</v>
      </c>
      <c r="B50" s="10" t="n">
        <v>2022</v>
      </c>
      <c r="C50" s="9" t="n">
        <v>0.00001</v>
      </c>
      <c r="D50" s="9" t="n">
        <v>1.4358838702920564</v>
      </c>
      <c r="E50" s="2" t="str">
        <v>2020—2022逐年内验证</v>
      </c>
    </row>
    <row r="51" ht="27" customHeight="true">
      <c r="A51" s="2" t="str">
        <v>岭回归</v>
      </c>
      <c r="B51" s="10" t="n">
        <v>2022</v>
      </c>
      <c r="C51" s="9" t="n">
        <v>0.0001</v>
      </c>
      <c r="D51" s="9" t="n">
        <v>1.4374326383825906</v>
      </c>
      <c r="E51" s="2" t="str">
        <v>2020—2022逐年内验证</v>
      </c>
    </row>
    <row r="52" ht="27" customHeight="true">
      <c r="A52" s="2" t="str">
        <v>岭回归</v>
      </c>
      <c r="B52" s="10" t="n">
        <v>2022</v>
      </c>
      <c r="C52" s="9" t="n">
        <v>0.001</v>
      </c>
      <c r="D52" s="9" t="n">
        <v>1.4526133239469992</v>
      </c>
      <c r="E52" s="2" t="str">
        <v>2020—2022逐年内验证</v>
      </c>
    </row>
    <row r="53" ht="27" customHeight="true">
      <c r="A53" s="2" t="str">
        <v>岭回归</v>
      </c>
      <c r="B53" s="10" t="n">
        <v>2022</v>
      </c>
      <c r="C53" s="9" t="n">
        <v>0.01</v>
      </c>
      <c r="D53" s="9" t="n">
        <v>1.578119587774258</v>
      </c>
      <c r="E53" s="2" t="str">
        <v>2020—2022逐年内验证</v>
      </c>
    </row>
    <row r="54" ht="27" customHeight="true">
      <c r="A54" s="2" t="str">
        <v>岭回归</v>
      </c>
      <c r="B54" s="10" t="n">
        <v>2022</v>
      </c>
      <c r="C54" s="9" t="n">
        <v>0.1</v>
      </c>
      <c r="D54" s="9" t="n">
        <v>1.8915529099177333</v>
      </c>
      <c r="E54" s="2" t="str">
        <v>2020—2022逐年内验证</v>
      </c>
    </row>
    <row r="55" ht="27" customHeight="true">
      <c r="A55" s="2" t="str">
        <v>岭回归</v>
      </c>
      <c r="B55" s="10" t="n">
        <v>2022</v>
      </c>
      <c r="C55" s="9" t="n">
        <v>1</v>
      </c>
      <c r="D55" s="9" t="n">
        <v>2.19471976528798</v>
      </c>
      <c r="E55" s="2" t="str">
        <v>2020—2022逐年内验证</v>
      </c>
    </row>
    <row r="56" ht="27" customHeight="true">
      <c r="A56" s="2" t="str">
        <v>岭回归</v>
      </c>
      <c r="B56" s="10" t="n">
        <v>2022</v>
      </c>
      <c r="C56" s="9" t="n">
        <v>10</v>
      </c>
      <c r="D56" s="9" t="n">
        <v>2.4650699811807866</v>
      </c>
      <c r="E56" s="2" t="str">
        <v>2020—2022逐年内验证</v>
      </c>
    </row>
    <row r="57" ht="27" customHeight="true">
      <c r="A57" s="2" t="str">
        <v>岭回归</v>
      </c>
      <c r="B57" s="10" t="n">
        <v>2022</v>
      </c>
      <c r="C57" s="9" t="n">
        <v>100</v>
      </c>
      <c r="D57" s="9" t="n">
        <v>2.495337111166668</v>
      </c>
      <c r="E57" s="2" t="str">
        <v>2020—2022逐年内验证</v>
      </c>
    </row>
    <row r="58" ht="27" customHeight="true">
      <c r="A58" s="2" t="str">
        <v>普通PSO-BP</v>
      </c>
      <c r="B58" s="10" t="n">
        <v>2023</v>
      </c>
      <c r="C58" s="9" t="n">
        <v>0.0001</v>
      </c>
      <c r="D58" s="9" t="n">
        <v>3.0446726843587903</v>
      </c>
      <c r="E58" s="2" t="str">
        <v>2021—2023逐年内验证</v>
      </c>
    </row>
    <row r="59" ht="27" customHeight="true">
      <c r="A59" s="2" t="str">
        <v>普通PSO-BP</v>
      </c>
      <c r="B59" s="10" t="n">
        <v>2023</v>
      </c>
      <c r="C59" s="9" t="n">
        <v>0.001</v>
      </c>
      <c r="D59" s="9" t="n">
        <v>3.40869403464411</v>
      </c>
      <c r="E59" s="2" t="str">
        <v>2021—2023逐年内验证</v>
      </c>
    </row>
    <row r="60" ht="27" customHeight="true">
      <c r="A60" s="2" t="str">
        <v>普通PSO-BP</v>
      </c>
      <c r="B60" s="10" t="n">
        <v>2023</v>
      </c>
      <c r="C60" s="9" t="n">
        <v>0.01</v>
      </c>
      <c r="D60" s="9" t="n">
        <v>0.9978419254895674</v>
      </c>
      <c r="E60" s="2" t="str">
        <v>2021—2023逐年内验证</v>
      </c>
    </row>
    <row r="61" ht="27" customHeight="true">
      <c r="A61" s="2" t="str">
        <v>受约束PSO-BP</v>
      </c>
      <c r="B61" s="10" t="n">
        <v>2023</v>
      </c>
      <c r="C61" s="9" t="n">
        <v>0.0001</v>
      </c>
      <c r="D61" s="9" t="n">
        <v>13.632397119954675</v>
      </c>
      <c r="E61" s="2" t="str">
        <v>2021—2023逐年内验证</v>
      </c>
    </row>
    <row r="62" ht="27" customHeight="true">
      <c r="A62" s="2" t="str">
        <v>受约束PSO-BP</v>
      </c>
      <c r="B62" s="10" t="n">
        <v>2023</v>
      </c>
      <c r="C62" s="9" t="n">
        <v>0.001</v>
      </c>
      <c r="D62" s="9" t="n">
        <v>2.6251697639866713</v>
      </c>
      <c r="E62" s="2" t="str">
        <v>2021—2023逐年内验证</v>
      </c>
    </row>
    <row r="63" ht="27" customHeight="true">
      <c r="A63" s="2" t="str">
        <v>受约束PSO-BP</v>
      </c>
      <c r="B63" s="10" t="n">
        <v>2023</v>
      </c>
      <c r="C63" s="9" t="n">
        <v>0.01</v>
      </c>
      <c r="D63" s="9" t="n">
        <v>0.5757788594103278</v>
      </c>
      <c r="E63" s="2" t="str">
        <v>2021—2023逐年内验证</v>
      </c>
    </row>
    <row r="64" ht="27" customHeight="true">
      <c r="A64" s="2" t="str">
        <v>岭回归</v>
      </c>
      <c r="B64" s="10" t="n">
        <v>2023</v>
      </c>
      <c r="C64" s="9" t="n">
        <v>0.00001</v>
      </c>
      <c r="D64" s="9" t="n">
        <v>1.2329902915689541</v>
      </c>
      <c r="E64" s="2" t="str">
        <v>2021—2023逐年内验证</v>
      </c>
    </row>
    <row r="65" ht="27" customHeight="true">
      <c r="A65" s="2" t="str">
        <v>岭回归</v>
      </c>
      <c r="B65" s="10" t="n">
        <v>2023</v>
      </c>
      <c r="C65" s="9" t="n">
        <v>0.0001</v>
      </c>
      <c r="D65" s="9" t="n">
        <v>1.232386060039566</v>
      </c>
      <c r="E65" s="2" t="str">
        <v>2021—2023逐年内验证</v>
      </c>
    </row>
    <row r="66" ht="27" customHeight="true">
      <c r="A66" s="2" t="str">
        <v>岭回归</v>
      </c>
      <c r="B66" s="10" t="n">
        <v>2023</v>
      </c>
      <c r="C66" s="9" t="n">
        <v>0.001</v>
      </c>
      <c r="D66" s="9" t="n">
        <v>1.226330201093823</v>
      </c>
      <c r="E66" s="2" t="str">
        <v>2021—2023逐年内验证</v>
      </c>
    </row>
    <row r="67" ht="27" customHeight="true">
      <c r="A67" s="2" t="str">
        <v>岭回归</v>
      </c>
      <c r="B67" s="10" t="n">
        <v>2023</v>
      </c>
      <c r="C67" s="9" t="n">
        <v>0.01</v>
      </c>
      <c r="D67" s="9" t="n">
        <v>1.1652329862783968</v>
      </c>
      <c r="E67" s="2" t="str">
        <v>2021—2023逐年内验证</v>
      </c>
    </row>
    <row r="68" ht="27" customHeight="true">
      <c r="A68" s="2" t="str">
        <v>岭回归</v>
      </c>
      <c r="B68" s="10" t="n">
        <v>2023</v>
      </c>
      <c r="C68" s="9" t="n">
        <v>0.1</v>
      </c>
      <c r="D68" s="9" t="n">
        <v>0.6962097972172452</v>
      </c>
      <c r="E68" s="2" t="str">
        <v>2021—2023逐年内验证</v>
      </c>
    </row>
    <row r="69" ht="27" customHeight="true">
      <c r="A69" s="2" t="str">
        <v>岭回归</v>
      </c>
      <c r="B69" s="10" t="n">
        <v>2023</v>
      </c>
      <c r="C69" s="9" t="n">
        <v>1</v>
      </c>
      <c r="D69" s="9" t="n">
        <v>0.45310173895207834</v>
      </c>
      <c r="E69" s="2" t="str">
        <v>2021—2023逐年内验证</v>
      </c>
    </row>
    <row r="70" ht="27" customHeight="true">
      <c r="A70" s="2" t="str">
        <v>岭回归</v>
      </c>
      <c r="B70" s="10" t="n">
        <v>2023</v>
      </c>
      <c r="C70" s="9" t="n">
        <v>10</v>
      </c>
      <c r="D70" s="9" t="n">
        <v>0.6436902721515231</v>
      </c>
      <c r="E70" s="2" t="str">
        <v>2021—2023逐年内验证</v>
      </c>
    </row>
    <row r="71" ht="27" customHeight="true">
      <c r="A71" s="2" t="str">
        <v>岭回归</v>
      </c>
      <c r="B71" s="10" t="n">
        <v>2023</v>
      </c>
      <c r="C71" s="9" t="n">
        <v>100</v>
      </c>
      <c r="D71" s="9" t="n">
        <v>0.6658144392947651</v>
      </c>
      <c r="E71" s="2" t="str">
        <v>2021—2023逐年内验证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="http://schemas.openxmlformats.org/spreadsheetml/2006/main" xmlns:mc="http://schemas.openxmlformats.org/markup-compatibility/2006" xmlns:x14ac="http://schemas.microsoft.com/office/spreadsheetml/2009/9/ac" mc:Ignorable="x14ac">
  <dimension ref="A1:N36"/>
  <sheetViews>
    <sheetView showGridLines="false" workbookViewId="0">
      <pane ySplit="1" topLeftCell="A2" activePane="bottomLeft" state="frozen"/>
    </sheetView>
  </sheetViews>
  <sheetFormatPr defaultRowHeight="15"/>
  <cols>
    <col min="1" max="1" width="5.875" hidden="false" customWidth="true"/>
    <col min="2" max="2" width="5.125" hidden="false" customWidth="true"/>
    <col min="3" max="3" width="17.125" hidden="false" customWidth="true"/>
    <col min="4" max="4" width="13.125" hidden="false" customWidth="true"/>
    <col min="5" max="5" width="13.125" hidden="false" customWidth="true"/>
    <col min="6" max="6" width="26.125" hidden="false" customWidth="true"/>
    <col min="7" max="7" width="13.625" hidden="false" customWidth="true"/>
    <col min="8" max="8" width="13.125" hidden="false" customWidth="true"/>
    <col min="9" max="9" width="13.625" hidden="false" customWidth="true"/>
    <col min="10" max="10" width="12.625" hidden="false" customWidth="true"/>
    <col min="11" max="11" width="19.125" hidden="false" customWidth="true"/>
    <col min="12" max="12" width="17.125" hidden="false" customWidth="true"/>
    <col min="13" max="13" width="17.125" customWidth="true"/>
    <col min="14" max="14" width="15.125" customWidth="true"/>
  </cols>
  <sheetData>
    <row r="1">
      <c r="A1" s="0" t="s">
        <v>118</v>
      </c>
      <c r="B1" s="0" t="s">
        <v>128</v>
      </c>
      <c r="C1" s="0" t="s">
        <v>219</v>
      </c>
      <c r="D1" s="0" t="s">
        <v>220</v>
      </c>
      <c r="E1" s="0" t="s">
        <v>221</v>
      </c>
      <c r="F1" s="0" t="s">
        <v>222</v>
      </c>
      <c r="G1" s="0" t="s">
        <v>223</v>
      </c>
      <c r="H1" s="0" t="s">
        <v>224</v>
      </c>
      <c r="I1" s="0" t="s">
        <v>225</v>
      </c>
      <c r="J1" s="0" t="s">
        <v>226</v>
      </c>
      <c r="K1" s="0" t="s">
        <v>227</v>
      </c>
      <c r="L1" s="0" t="s">
        <v>228</v>
      </c>
      <c r="M1" s="0" t="s">
        <v>229</v>
      </c>
      <c r="N1" s="0" t="s">
        <v>230</v>
      </c>
    </row>
    <row r="2">
      <c r="A2" s="0" t="s">
        <v>119</v>
      </c>
      <c r="B2" s="0">
        <v>2024</v>
      </c>
      <c r="C2" s="0">
        <v>165.18863526492498</v>
      </c>
      <c r="D2" s="0">
        <v>164.4748707566232</v>
      </c>
      <c r="E2" s="0">
        <v>164.38619132866143</v>
      </c>
      <c r="F2" s="0">
        <v>0.13333798908308836</v>
      </c>
      <c r="G2" s="0">
        <v>0.055297275841894589</v>
      </c>
      <c r="H2" s="0">
        <v>0.71376450830177873</v>
      </c>
      <c r="I2" s="0">
        <v>0.088679427961778856</v>
      </c>
      <c r="J2" s="0">
        <v>0.80244393626355759</v>
      </c>
      <c r="K2" s="0">
        <v>-0.61380867133857464</v>
      </c>
      <c r="L2" s="0">
        <v>6.0181193805429443</v>
      </c>
      <c r="M2" s="0"/>
      <c r="N2" s="0"/>
    </row>
    <row r="3">
      <c r="A3" s="0" t="s">
        <v>119</v>
      </c>
      <c r="B3" s="0">
        <v>2025</v>
      </c>
      <c r="C3" s="0">
        <v>165.30180939577485</v>
      </c>
      <c r="D3" s="0">
        <v>163.97336291396618</v>
      </c>
      <c r="E3" s="0">
        <v>163.80656719074852</v>
      </c>
      <c r="F3" s="0">
        <v>0.24651211993295874</v>
      </c>
      <c r="G3" s="0">
        <v>0.055297275841894589</v>
      </c>
      <c r="H3" s="0">
        <v>1.328446481808669</v>
      </c>
      <c r="I3" s="0">
        <v>0.16679572321766045</v>
      </c>
      <c r="J3" s="0">
        <v>1.4952422050263294</v>
      </c>
      <c r="K3" s="0">
        <v>-1.1934328092514761</v>
      </c>
      <c r="L3" s="0">
        <v>6.0655930646857215</v>
      </c>
      <c r="M3" s="0"/>
      <c r="N3" s="0"/>
    </row>
    <row r="4">
      <c r="A4" s="0" t="s">
        <v>119</v>
      </c>
      <c r="B4" s="0">
        <v>2026</v>
      </c>
      <c r="C4" s="0">
        <v>165.45586062647601</v>
      </c>
      <c r="D4" s="0">
        <v>163.55132054552689</v>
      </c>
      <c r="E4" s="0">
        <v>163.31537043441051</v>
      </c>
      <c r="F4" s="0">
        <v>0.40056335063411552</v>
      </c>
      <c r="G4" s="0">
        <v>0.055297275841894589</v>
      </c>
      <c r="H4" s="0">
        <v>1.9045400809491184</v>
      </c>
      <c r="I4" s="0">
        <v>0.23595011111638087</v>
      </c>
      <c r="J4" s="0">
        <v>2.1404901920654993</v>
      </c>
      <c r="K4" s="0">
        <v>-1.6846295655894892</v>
      </c>
      <c r="L4" s="0">
        <v>5.3436995388544073</v>
      </c>
      <c r="M4" s="0"/>
      <c r="N4" s="0"/>
    </row>
    <row r="5">
      <c r="A5" s="0" t="s">
        <v>119</v>
      </c>
      <c r="B5" s="0">
        <v>2027</v>
      </c>
      <c r="C5" s="0">
        <v>165.66473162170803</v>
      </c>
      <c r="D5" s="0">
        <v>163.21259564728871</v>
      </c>
      <c r="E5" s="0">
        <v>162.91468122506888</v>
      </c>
      <c r="F5" s="0">
        <v>0.60943434586613421</v>
      </c>
      <c r="G5" s="0">
        <v>0.055297275841894589</v>
      </c>
      <c r="H5" s="0">
        <v>2.4521359744193205</v>
      </c>
      <c r="I5" s="0">
        <v>0.29791442221983289</v>
      </c>
      <c r="J5" s="0">
        <v>2.7500503966391534</v>
      </c>
      <c r="K5" s="0">
        <v>-2.0853187749311246</v>
      </c>
      <c r="L5" s="0">
        <v>4.5124637547802697</v>
      </c>
      <c r="M5" s="0"/>
      <c r="N5" s="0"/>
    </row>
    <row r="6">
      <c r="A6" s="0" t="s">
        <v>119</v>
      </c>
      <c r="B6" s="0">
        <v>2028</v>
      </c>
      <c r="C6" s="0">
        <v>165.92452240193279</v>
      </c>
      <c r="D6" s="0">
        <v>162.94645336639951</v>
      </c>
      <c r="E6" s="0">
        <v>162.59229900031778</v>
      </c>
      <c r="F6" s="0">
        <v>0.86922512609089608</v>
      </c>
      <c r="G6" s="0">
        <v>0.055297275841894589</v>
      </c>
      <c r="H6" s="0">
        <v>2.9780690355332808</v>
      </c>
      <c r="I6" s="0">
        <v>0.35415436608172968</v>
      </c>
      <c r="J6" s="0">
        <v>3.3322234016150105</v>
      </c>
      <c r="K6" s="0">
        <v>-2.4077009996822198</v>
      </c>
      <c r="L6" s="0">
        <v>3.8335562348511258</v>
      </c>
      <c r="M6" s="0"/>
      <c r="N6" s="0"/>
    </row>
    <row r="7">
      <c r="A7" s="0" t="s">
        <v>119</v>
      </c>
      <c r="B7" s="0">
        <v>2029</v>
      </c>
      <c r="C7" s="0">
        <v>166.23235054936822</v>
      </c>
      <c r="D7" s="0">
        <v>162.74433075594322</v>
      </c>
      <c r="E7" s="0">
        <v>162.33840659579766</v>
      </c>
      <c r="F7" s="0">
        <v>1.1770532735263259</v>
      </c>
      <c r="G7" s="0">
        <v>0.055297275841894589</v>
      </c>
      <c r="H7" s="0">
        <v>3.4880197934249964</v>
      </c>
      <c r="I7" s="0">
        <v>0.40592416014555965</v>
      </c>
      <c r="J7" s="0">
        <v>3.893943953570556</v>
      </c>
      <c r="K7" s="0">
        <v>-2.6615934042023355</v>
      </c>
      <c r="L7" s="0">
        <v>3.3082138601124789</v>
      </c>
      <c r="M7" s="0"/>
      <c r="N7" s="0"/>
    </row>
    <row r="8">
      <c r="A8" s="0" t="s">
        <v>119</v>
      </c>
      <c r="B8" s="0">
        <v>2030</v>
      </c>
      <c r="C8" s="0">
        <v>166.58603768167302</v>
      </c>
      <c r="D8" s="0">
        <v>162.59936305964357</v>
      </c>
      <c r="E8" s="0">
        <v>162.14507925618148</v>
      </c>
      <c r="F8" s="0">
        <v>1.5307404058311249</v>
      </c>
      <c r="G8" s="0">
        <v>0.055297275841894589</v>
      </c>
      <c r="H8" s="0">
        <v>3.9866746220294544</v>
      </c>
      <c r="I8" s="0">
        <v>0.45428380346208996</v>
      </c>
      <c r="J8" s="0">
        <v>4.4409584254915444</v>
      </c>
      <c r="K8" s="0">
        <v>-2.8549207438185249</v>
      </c>
      <c r="L8" s="0">
        <v>2.9011832499974406</v>
      </c>
      <c r="M8" s="0">
        <v>173.25866293314667</v>
      </c>
      <c r="N8" s="0">
        <v>0</v>
      </c>
    </row>
    <row r="9">
      <c r="A9" s="0" t="s">
        <v>120</v>
      </c>
      <c r="B9" s="0">
        <v>2024</v>
      </c>
      <c r="C9" s="0">
        <v>165.17908275339119</v>
      </c>
      <c r="D9" s="0">
        <v>164.56953805219825</v>
      </c>
      <c r="E9" s="0">
        <v>164.46117903195341</v>
      </c>
      <c r="F9" s="0">
        <v>0.12378547754929059</v>
      </c>
      <c r="G9" s="0">
        <v>0.055297275841894589</v>
      </c>
      <c r="H9" s="0">
        <v>0.60954470119293092</v>
      </c>
      <c r="I9" s="0">
        <v>0.10835902024484767</v>
      </c>
      <c r="J9" s="0">
        <v>0.71790372143777859</v>
      </c>
      <c r="K9" s="0">
        <v>-0.53882096804659341</v>
      </c>
      <c r="L9" s="0">
        <v>5.7995795278320426</v>
      </c>
      <c r="M9" s="0"/>
      <c r="N9" s="0"/>
    </row>
    <row r="10">
      <c r="A10" s="0" t="s">
        <v>120</v>
      </c>
      <c r="B10" s="0">
        <v>2025</v>
      </c>
      <c r="C10" s="0">
        <v>165.2711738744573</v>
      </c>
      <c r="D10" s="0">
        <v>164.13567579262497</v>
      </c>
      <c r="E10" s="0">
        <v>163.93019403217454</v>
      </c>
      <c r="F10" s="0">
        <v>0.21587659861540942</v>
      </c>
      <c r="G10" s="0">
        <v>0.055297275841894589</v>
      </c>
      <c r="H10" s="0">
        <v>1.1354980818323384</v>
      </c>
      <c r="I10" s="0">
        <v>0.2054817604504251</v>
      </c>
      <c r="J10" s="0">
        <v>1.3409798422827635</v>
      </c>
      <c r="K10" s="0">
        <v>-1.0698059678254594</v>
      </c>
      <c r="L10" s="0">
        <v>6.2117888223343698</v>
      </c>
      <c r="M10" s="0"/>
      <c r="N10" s="0"/>
    </row>
    <row r="11">
      <c r="A11" s="0" t="s">
        <v>120</v>
      </c>
      <c r="B11" s="0">
        <v>2026</v>
      </c>
      <c r="C11" s="0">
        <v>165.39175668478583</v>
      </c>
      <c r="D11" s="0">
        <v>163.75690974914642</v>
      </c>
      <c r="E11" s="0">
        <v>163.46416615192811</v>
      </c>
      <c r="F11" s="0">
        <v>0.33645940894393789</v>
      </c>
      <c r="G11" s="0">
        <v>0.055297275841894589</v>
      </c>
      <c r="H11" s="0">
        <v>1.6348469356394162</v>
      </c>
      <c r="I11" s="0">
        <v>0.29274359721830479</v>
      </c>
      <c r="J11" s="0">
        <v>1.927590532857721</v>
      </c>
      <c r="K11" s="0">
        <v>-1.5358338480718885</v>
      </c>
      <c r="L11" s="0">
        <v>5.7290433306886754</v>
      </c>
      <c r="M11" s="0"/>
      <c r="N11" s="0"/>
    </row>
    <row r="12">
      <c r="A12" s="0" t="s">
        <v>120</v>
      </c>
      <c r="B12" s="0">
        <v>2027</v>
      </c>
      <c r="C12" s="0">
        <v>165.55366021191776</v>
      </c>
      <c r="D12" s="0">
        <v>163.43991055875335</v>
      </c>
      <c r="E12" s="0">
        <v>163.06813799635404</v>
      </c>
      <c r="F12" s="0">
        <v>0.49836293607586413</v>
      </c>
      <c r="G12" s="0">
        <v>0.055297275841894589</v>
      </c>
      <c r="H12" s="0">
        <v>2.1137496531644047</v>
      </c>
      <c r="I12" s="0">
        <v>0.37177256239931467</v>
      </c>
      <c r="J12" s="0">
        <v>2.4855222155637193</v>
      </c>
      <c r="K12" s="0">
        <v>-1.9318620036459606</v>
      </c>
      <c r="L12" s="0">
        <v>4.9873737303477093</v>
      </c>
      <c r="M12" s="0"/>
      <c r="N12" s="0"/>
    </row>
    <row r="13">
      <c r="A13" s="0" t="s">
        <v>120</v>
      </c>
      <c r="B13" s="0">
        <v>2028</v>
      </c>
      <c r="C13" s="0">
        <v>165.75165500037542</v>
      </c>
      <c r="D13" s="0">
        <v>163.17580300969121</v>
      </c>
      <c r="E13" s="0">
        <v>162.73191661247608</v>
      </c>
      <c r="F13" s="0">
        <v>0.69635772453352729</v>
      </c>
      <c r="G13" s="0">
        <v>0.055297275841894589</v>
      </c>
      <c r="H13" s="0">
        <v>2.5758519906842139</v>
      </c>
      <c r="I13" s="0">
        <v>0.44388639721512391</v>
      </c>
      <c r="J13" s="0">
        <v>3.0197383878993378</v>
      </c>
      <c r="K13" s="0">
        <v>-2.2680833875239159</v>
      </c>
      <c r="L13" s="0">
        <v>4.3364757530652591</v>
      </c>
      <c r="M13" s="0"/>
      <c r="N13" s="0"/>
    </row>
    <row r="14">
      <c r="A14" s="0" t="s">
        <v>120</v>
      </c>
      <c r="B14" s="0">
        <v>2029</v>
      </c>
      <c r="C14" s="0">
        <v>165.98140207954998</v>
      </c>
      <c r="D14" s="0">
        <v>162.95730873361413</v>
      </c>
      <c r="E14" s="0">
        <v>162.44709821255765</v>
      </c>
      <c r="F14" s="0">
        <v>0.92610480370808546</v>
      </c>
      <c r="G14" s="0">
        <v>0.055297275841894589</v>
      </c>
      <c r="H14" s="0">
        <v>3.024093345935853</v>
      </c>
      <c r="I14" s="0">
        <v>0.51021052105647868</v>
      </c>
      <c r="J14" s="0">
        <v>3.5343038669923317</v>
      </c>
      <c r="K14" s="0">
        <v>-2.5529017874423516</v>
      </c>
      <c r="L14" s="0">
        <v>3.8163109108614108</v>
      </c>
      <c r="M14" s="0"/>
      <c r="N14" s="0"/>
    </row>
    <row r="15">
      <c r="A15" s="0" t="s">
        <v>120</v>
      </c>
      <c r="B15" s="0">
        <v>2030</v>
      </c>
      <c r="C15" s="0">
        <v>166.2391928015154</v>
      </c>
      <c r="D15" s="0">
        <v>162.77836104508094</v>
      </c>
      <c r="E15" s="0">
        <v>162.20666765288877</v>
      </c>
      <c r="F15" s="0">
        <v>1.1838955256735062</v>
      </c>
      <c r="G15" s="0">
        <v>0.055297275841894589</v>
      </c>
      <c r="H15" s="0">
        <v>3.4608317564344588</v>
      </c>
      <c r="I15" s="0">
        <v>0.57169339219217363</v>
      </c>
      <c r="J15" s="0">
        <v>4.0325251486266325</v>
      </c>
      <c r="K15" s="0">
        <v>-2.7933323471112317</v>
      </c>
      <c r="L15" s="0">
        <v>3.4061494964537262</v>
      </c>
      <c r="M15" s="0">
        <v>173.25866293314667</v>
      </c>
      <c r="N15" s="0">
        <v>0</v>
      </c>
    </row>
    <row r="16">
      <c r="A16" s="0" t="s">
        <v>121</v>
      </c>
      <c r="B16" s="0">
        <v>2024</v>
      </c>
      <c r="C16" s="0">
        <v>165.17701487907493</v>
      </c>
      <c r="D16" s="0">
        <v>164.67302725600655</v>
      </c>
      <c r="E16" s="0">
        <v>164.54470676967651</v>
      </c>
      <c r="F16" s="0">
        <v>0.12171760323303715</v>
      </c>
      <c r="G16" s="0">
        <v>0.055297275841894589</v>
      </c>
      <c r="H16" s="0">
        <v>0.50398762306838307</v>
      </c>
      <c r="I16" s="0">
        <v>0.12832048633003978</v>
      </c>
      <c r="J16" s="0">
        <v>0.63230810939842286</v>
      </c>
      <c r="K16" s="0">
        <v>-0.45529323032349112</v>
      </c>
      <c r="L16" s="0">
        <v>5.1948780833929442</v>
      </c>
      <c r="M16" s="0"/>
      <c r="N16" s="0"/>
    </row>
    <row r="17">
      <c r="A17" s="0" t="s">
        <v>121</v>
      </c>
      <c r="B17" s="0">
        <v>2025</v>
      </c>
      <c r="C17" s="0">
        <v>165.35738468088493</v>
      </c>
      <c r="D17" s="0">
        <v>164.41462707096798</v>
      </c>
      <c r="E17" s="0">
        <v>164.16796436844356</v>
      </c>
      <c r="F17" s="0">
        <v>0.30208740504303933</v>
      </c>
      <c r="G17" s="0">
        <v>0.055297275841894589</v>
      </c>
      <c r="H17" s="0">
        <v>0.94275760991695279</v>
      </c>
      <c r="I17" s="0">
        <v>0.24666270252441791</v>
      </c>
      <c r="J17" s="0">
        <v>1.1894203124413707</v>
      </c>
      <c r="K17" s="0">
        <v>-0.83203563155643678</v>
      </c>
      <c r="L17" s="0">
        <v>3.9373383086657001</v>
      </c>
      <c r="M17" s="0"/>
      <c r="N17" s="0"/>
    </row>
    <row r="18">
      <c r="A18" s="0" t="s">
        <v>121</v>
      </c>
      <c r="B18" s="0">
        <v>2026</v>
      </c>
      <c r="C18" s="0">
        <v>165.55205244119804</v>
      </c>
      <c r="D18" s="0">
        <v>164.18191529280375</v>
      </c>
      <c r="E18" s="0">
        <v>163.82594933505652</v>
      </c>
      <c r="F18" s="0">
        <v>0.49675516535614861</v>
      </c>
      <c r="G18" s="0">
        <v>0.055297275841894589</v>
      </c>
      <c r="H18" s="0">
        <v>1.3701371483942921</v>
      </c>
      <c r="I18" s="0">
        <v>0.35596595774723028</v>
      </c>
      <c r="J18" s="0">
        <v>1.7261031061415224</v>
      </c>
      <c r="K18" s="0">
        <v>-1.1740506649434792</v>
      </c>
      <c r="L18" s="0">
        <v>3.4747562310781266</v>
      </c>
      <c r="M18" s="0"/>
      <c r="N18" s="0"/>
    </row>
    <row r="19">
      <c r="A19" s="0" t="s">
        <v>121</v>
      </c>
      <c r="B19" s="0">
        <v>2027</v>
      </c>
      <c r="C19" s="0">
        <v>165.77368046029869</v>
      </c>
      <c r="D19" s="0">
        <v>163.98491070706655</v>
      </c>
      <c r="E19" s="0">
        <v>163.52743712330891</v>
      </c>
      <c r="F19" s="0">
        <v>0.71838318445679761</v>
      </c>
      <c r="G19" s="0">
        <v>0.055297275841894589</v>
      </c>
      <c r="H19" s="0">
        <v>1.7887697532321454</v>
      </c>
      <c r="I19" s="0">
        <v>0.4574735837576327</v>
      </c>
      <c r="J19" s="0">
        <v>2.2462433369897781</v>
      </c>
      <c r="K19" s="0">
        <v>-1.4725628766910859</v>
      </c>
      <c r="L19" s="0">
        <v>3.126803891837008</v>
      </c>
      <c r="M19" s="0"/>
      <c r="N19" s="0"/>
    </row>
    <row r="20">
      <c r="A20" s="0" t="s">
        <v>121</v>
      </c>
      <c r="B20" s="0">
        <v>2028</v>
      </c>
      <c r="C20" s="0">
        <v>166.01647565182861</v>
      </c>
      <c r="D20" s="0">
        <v>163.81713336301107</v>
      </c>
      <c r="E20" s="0">
        <v>163.2650296628193</v>
      </c>
      <c r="F20" s="0">
        <v>0.9611783759867194</v>
      </c>
      <c r="G20" s="0">
        <v>0.055297275841894589</v>
      </c>
      <c r="H20" s="0">
        <v>2.1993422888175473</v>
      </c>
      <c r="I20" s="0">
        <v>0.5521037001917648</v>
      </c>
      <c r="J20" s="0">
        <v>2.7514459890093121</v>
      </c>
      <c r="K20" s="0">
        <v>-1.7349703371806982</v>
      </c>
      <c r="L20" s="0">
        <v>2.8625758316553398</v>
      </c>
      <c r="M20" s="0"/>
      <c r="N20" s="0"/>
    </row>
    <row r="21">
      <c r="A21" s="0" t="s">
        <v>121</v>
      </c>
      <c r="B21" s="0">
        <v>2029</v>
      </c>
      <c r="C21" s="0">
        <v>166.2752704578138</v>
      </c>
      <c r="D21" s="0">
        <v>163.67315319301497</v>
      </c>
      <c r="E21" s="0">
        <v>163.03254975774746</v>
      </c>
      <c r="F21" s="0">
        <v>1.2199731819719091</v>
      </c>
      <c r="G21" s="0">
        <v>0.055297275841894589</v>
      </c>
      <c r="H21" s="0">
        <v>2.6021172647988351</v>
      </c>
      <c r="I21" s="0">
        <v>0.64060343526750785</v>
      </c>
      <c r="J21" s="0">
        <v>3.2427207000663429</v>
      </c>
      <c r="K21" s="0">
        <v>-1.9674502422525393</v>
      </c>
      <c r="L21" s="0">
        <v>2.6580262156459513</v>
      </c>
      <c r="M21" s="0"/>
      <c r="N21" s="0"/>
    </row>
    <row r="22">
      <c r="A22" s="0" t="s">
        <v>121</v>
      </c>
      <c r="B22" s="0">
        <v>2030</v>
      </c>
      <c r="C22" s="0">
        <v>166.54533035125223</v>
      </c>
      <c r="D22" s="0">
        <v>163.54829125244339</v>
      </c>
      <c r="E22" s="0">
        <v>162.8247220283464</v>
      </c>
      <c r="F22" s="0">
        <v>1.4900330754103379</v>
      </c>
      <c r="G22" s="0">
        <v>0.055297275841894589</v>
      </c>
      <c r="H22" s="0">
        <v>2.9970390988088411</v>
      </c>
      <c r="I22" s="0">
        <v>0.72356922409699109</v>
      </c>
      <c r="J22" s="0">
        <v>3.7206083229058322</v>
      </c>
      <c r="K22" s="0">
        <v>-2.1752779716535997</v>
      </c>
      <c r="L22" s="0">
        <v>2.4969971367120287</v>
      </c>
      <c r="M22" s="0">
        <v>173.25866293314667</v>
      </c>
      <c r="N22" s="0">
        <v>0</v>
      </c>
    </row>
    <row r="23">
      <c r="A23" s="0" t="s">
        <v>122</v>
      </c>
      <c r="B23" s="0">
        <v>2024</v>
      </c>
      <c r="C23" s="0">
        <v>165.18959527748223</v>
      </c>
      <c r="D23" s="0">
        <v>164.57953360994259</v>
      </c>
      <c r="E23" s="0">
        <v>164.47111208956096</v>
      </c>
      <c r="F23" s="0">
        <v>0.13429800164033168</v>
      </c>
      <c r="G23" s="0">
        <v>0.055297275841894589</v>
      </c>
      <c r="H23" s="0">
        <v>0.61006166753963953</v>
      </c>
      <c r="I23" s="0">
        <v>0.10842152038162567</v>
      </c>
      <c r="J23" s="0">
        <v>0.7184831879212652</v>
      </c>
      <c r="K23" s="0">
        <v>-0.52888791043903893</v>
      </c>
      <c r="L23" s="0">
        <v>5.3499171927029927</v>
      </c>
      <c r="M23" s="0"/>
      <c r="N23" s="0"/>
    </row>
    <row r="24">
      <c r="A24" s="0" t="s">
        <v>122</v>
      </c>
      <c r="B24" s="0">
        <v>2025</v>
      </c>
      <c r="C24" s="0">
        <v>165.31187985390261</v>
      </c>
      <c r="D24" s="0">
        <v>164.17326296256704</v>
      </c>
      <c r="E24" s="0">
        <v>163.96729971165348</v>
      </c>
      <c r="F24" s="0">
        <v>0.2565825780607156</v>
      </c>
      <c r="G24" s="0">
        <v>0.055297275841894589</v>
      </c>
      <c r="H24" s="0">
        <v>1.1386168913355732</v>
      </c>
      <c r="I24" s="0">
        <v>0.20596325091355538</v>
      </c>
      <c r="J24" s="0">
        <v>1.3445801422491286</v>
      </c>
      <c r="K24" s="0">
        <v>-1.0327002883465184</v>
      </c>
      <c r="L24" s="0">
        <v>5.2403407605132024</v>
      </c>
      <c r="M24" s="0"/>
      <c r="N24" s="0"/>
    </row>
    <row r="25">
      <c r="A25" s="0" t="s">
        <v>122</v>
      </c>
      <c r="B25" s="0">
        <v>2026</v>
      </c>
      <c r="C25" s="0">
        <v>165.48313209048638</v>
      </c>
      <c r="D25" s="0">
        <v>163.83883059982793</v>
      </c>
      <c r="E25" s="0">
        <v>163.54448971731847</v>
      </c>
      <c r="F25" s="0">
        <v>0.42783481464448414</v>
      </c>
      <c r="G25" s="0">
        <v>0.055297275841894589</v>
      </c>
      <c r="H25" s="0">
        <v>1.6443014906584494</v>
      </c>
      <c r="I25" s="0">
        <v>0.29434088250945933</v>
      </c>
      <c r="J25" s="0">
        <v>1.9386423731679088</v>
      </c>
      <c r="K25" s="0">
        <v>-1.45551028268153</v>
      </c>
      <c r="L25" s="0">
        <v>4.531287092142918</v>
      </c>
      <c r="M25" s="0"/>
      <c r="N25" s="0"/>
    </row>
    <row r="26">
      <c r="A26" s="0" t="s">
        <v>122</v>
      </c>
      <c r="B26" s="0">
        <v>2027</v>
      </c>
      <c r="C26" s="0">
        <v>165.71745574966292</v>
      </c>
      <c r="D26" s="0">
        <v>163.58262820418611</v>
      </c>
      <c r="E26" s="0">
        <v>163.20712392957535</v>
      </c>
      <c r="F26" s="0">
        <v>0.66215847382102311</v>
      </c>
      <c r="G26" s="0">
        <v>0.055297275841894589</v>
      </c>
      <c r="H26" s="0">
        <v>2.13482754547681</v>
      </c>
      <c r="I26" s="0">
        <v>0.37550427461076197</v>
      </c>
      <c r="J26" s="0">
        <v>2.5103318200875719</v>
      </c>
      <c r="K26" s="0">
        <v>-1.7928760704246542</v>
      </c>
      <c r="L26" s="0">
        <v>3.7911344781281127</v>
      </c>
      <c r="M26" s="0"/>
      <c r="N26" s="0"/>
    </row>
    <row r="27">
      <c r="A27" s="0" t="s">
        <v>122</v>
      </c>
      <c r="B27" s="0">
        <v>2028</v>
      </c>
      <c r="C27" s="0">
        <v>166.01099013827525</v>
      </c>
      <c r="D27" s="0">
        <v>163.39575223633108</v>
      </c>
      <c r="E27" s="0">
        <v>162.9446861805086</v>
      </c>
      <c r="F27" s="0">
        <v>0.95569286243335227</v>
      </c>
      <c r="G27" s="0">
        <v>0.055297275841894589</v>
      </c>
      <c r="H27" s="0">
        <v>2.6152379019441696</v>
      </c>
      <c r="I27" s="0">
        <v>0.45106605582247994</v>
      </c>
      <c r="J27" s="0">
        <v>3.0663039577666495</v>
      </c>
      <c r="K27" s="0">
        <v>-2.0553138194914027</v>
      </c>
      <c r="L27" s="0">
        <v>3.208461712227642</v>
      </c>
      <c r="M27" s="0"/>
      <c r="N27" s="0"/>
    </row>
    <row r="28">
      <c r="A28" s="0" t="s">
        <v>122</v>
      </c>
      <c r="B28" s="0">
        <v>2029</v>
      </c>
      <c r="C28" s="0">
        <v>166.36088331665098</v>
      </c>
      <c r="D28" s="0">
        <v>163.27120556907312</v>
      </c>
      <c r="E28" s="0">
        <v>162.74878569972668</v>
      </c>
      <c r="F28" s="0">
        <v>1.3055860408090894</v>
      </c>
      <c r="G28" s="0">
        <v>0.055297275841894589</v>
      </c>
      <c r="H28" s="0">
        <v>3.0896777475778663</v>
      </c>
      <c r="I28" s="0">
        <v>0.52241986934643592</v>
      </c>
      <c r="J28" s="0">
        <v>3.6120976169243022</v>
      </c>
      <c r="K28" s="0">
        <v>-2.2512143002733183</v>
      </c>
      <c r="L28" s="0">
        <v>2.766648465914844</v>
      </c>
      <c r="M28" s="0"/>
      <c r="N28" s="0"/>
    </row>
    <row r="29">
      <c r="A29" s="0" t="s">
        <v>122</v>
      </c>
      <c r="B29" s="0">
        <v>2030</v>
      </c>
      <c r="C29" s="0">
        <v>166.76496394097842</v>
      </c>
      <c r="D29" s="0">
        <v>163.20348132848176</v>
      </c>
      <c r="E29" s="0">
        <v>162.61272343277824</v>
      </c>
      <c r="F29" s="0">
        <v>1.709666665136524</v>
      </c>
      <c r="G29" s="0">
        <v>0.055297275841894589</v>
      </c>
      <c r="H29" s="0">
        <v>3.5614826124966612</v>
      </c>
      <c r="I29" s="0">
        <v>0.59075789570351844</v>
      </c>
      <c r="J29" s="0">
        <v>4.1522405082001796</v>
      </c>
      <c r="K29" s="0">
        <v>-2.3872765672217611</v>
      </c>
      <c r="L29" s="0">
        <v>2.4286842534118227</v>
      </c>
      <c r="M29" s="0">
        <v>173.25866293314667</v>
      </c>
      <c r="N29" s="0">
        <v>0</v>
      </c>
    </row>
    <row r="30">
      <c r="A30" s="0" t="s">
        <v>123</v>
      </c>
      <c r="B30" s="0">
        <v>2024</v>
      </c>
      <c r="C30" s="0">
        <v>165.19379656327158</v>
      </c>
      <c r="D30" s="0">
        <v>164.47896102783022</v>
      </c>
      <c r="E30" s="0">
        <v>164.39026034623782</v>
      </c>
      <c r="F30" s="0">
        <v>0.13849928742968132</v>
      </c>
      <c r="G30" s="0">
        <v>0.055297275841894589</v>
      </c>
      <c r="H30" s="0">
        <v>0.71483553544135248</v>
      </c>
      <c r="I30" s="0">
        <v>0.088700681592399633</v>
      </c>
      <c r="J30" s="0">
        <v>0.80353621703375211</v>
      </c>
      <c r="K30" s="0">
        <v>-0.6097396537621762</v>
      </c>
      <c r="L30" s="0">
        <v>5.8017353875681312</v>
      </c>
      <c r="M30" s="0"/>
      <c r="N30" s="0"/>
    </row>
    <row r="31">
      <c r="A31" s="0" t="s">
        <v>123</v>
      </c>
      <c r="B31" s="0">
        <v>2025</v>
      </c>
      <c r="C31" s="0">
        <v>165.21639502021844</v>
      </c>
      <c r="D31" s="0">
        <v>163.89090552699315</v>
      </c>
      <c r="E31" s="0">
        <v>163.72499472037975</v>
      </c>
      <c r="F31" s="0">
        <v>0.16109774437654778</v>
      </c>
      <c r="G31" s="0">
        <v>0.055297275841894589</v>
      </c>
      <c r="H31" s="0">
        <v>1.325489493225291</v>
      </c>
      <c r="I31" s="0">
        <v>0.16591080661339674</v>
      </c>
      <c r="J31" s="0">
        <v>1.4914002998386877</v>
      </c>
      <c r="K31" s="0">
        <v>-1.2750052796202453</v>
      </c>
      <c r="L31" s="0">
        <v>9.25773545502107</v>
      </c>
      <c r="M31" s="0"/>
      <c r="N31" s="0"/>
    </row>
    <row r="32">
      <c r="A32" s="0" t="s">
        <v>123</v>
      </c>
      <c r="B32" s="0">
        <v>2026</v>
      </c>
      <c r="C32" s="0">
        <v>165.28897196681351</v>
      </c>
      <c r="D32" s="0">
        <v>163.39477302566308</v>
      </c>
      <c r="E32" s="0">
        <v>163.16139254018776</v>
      </c>
      <c r="F32" s="0">
        <v>0.2336746909716112</v>
      </c>
      <c r="G32" s="0">
        <v>0.055297275841894589</v>
      </c>
      <c r="H32" s="0">
        <v>1.894198941150421</v>
      </c>
      <c r="I32" s="0">
        <v>0.23338048547532253</v>
      </c>
      <c r="J32" s="0">
        <v>2.1275794266257435</v>
      </c>
      <c r="K32" s="0">
        <v>-1.8386074598122377</v>
      </c>
      <c r="L32" s="0">
        <v>9.1048774592547552</v>
      </c>
      <c r="M32" s="0"/>
      <c r="N32" s="0"/>
    </row>
    <row r="33">
      <c r="A33" s="0" t="s">
        <v>123</v>
      </c>
      <c r="B33" s="0">
        <v>2027</v>
      </c>
      <c r="C33" s="0">
        <v>165.42417374238482</v>
      </c>
      <c r="D33" s="0">
        <v>162.99175619689834</v>
      </c>
      <c r="E33" s="0">
        <v>162.698715825823</v>
      </c>
      <c r="F33" s="0">
        <v>0.36887646654292894</v>
      </c>
      <c r="G33" s="0">
        <v>0.055297275841894589</v>
      </c>
      <c r="H33" s="0">
        <v>2.4324175454864871</v>
      </c>
      <c r="I33" s="0">
        <v>0.29304037107533532</v>
      </c>
      <c r="J33" s="0">
        <v>2.7254579165618225</v>
      </c>
      <c r="K33" s="0">
        <v>-2.3012841741769989</v>
      </c>
      <c r="L33" s="0">
        <v>7.3885383421298858</v>
      </c>
      <c r="M33" s="0"/>
      <c r="N33" s="0"/>
    </row>
    <row r="34">
      <c r="A34" s="0" t="s">
        <v>123</v>
      </c>
      <c r="B34" s="0">
        <v>2028</v>
      </c>
      <c r="C34" s="0">
        <v>165.6169906549494</v>
      </c>
      <c r="D34" s="0">
        <v>162.66880106233475</v>
      </c>
      <c r="E34" s="0">
        <v>162.32230473874097</v>
      </c>
      <c r="F34" s="0">
        <v>0.56169337910750983</v>
      </c>
      <c r="G34" s="0">
        <v>0.055297275841894589</v>
      </c>
      <c r="H34" s="0">
        <v>2.9481895926146535</v>
      </c>
      <c r="I34" s="0">
        <v>0.34649632359378302</v>
      </c>
      <c r="J34" s="0">
        <v>3.2946859162084365</v>
      </c>
      <c r="K34" s="0">
        <v>-2.6776952612590321</v>
      </c>
      <c r="L34" s="0">
        <v>5.8656306781530061</v>
      </c>
      <c r="M34" s="0"/>
      <c r="N34" s="0"/>
    </row>
    <row r="35">
      <c r="A35" s="0" t="s">
        <v>123</v>
      </c>
      <c r="B35" s="0">
        <v>2029</v>
      </c>
      <c r="C35" s="0">
        <v>165.86358790002362</v>
      </c>
      <c r="D35" s="0">
        <v>162.41535206017431</v>
      </c>
      <c r="E35" s="0">
        <v>162.02023833242629</v>
      </c>
      <c r="F35" s="0">
        <v>0.80829062418172271</v>
      </c>
      <c r="G35" s="0">
        <v>0.055297275841894589</v>
      </c>
      <c r="H35" s="0">
        <v>3.4482358398493034</v>
      </c>
      <c r="I35" s="0">
        <v>0.39511372774802567</v>
      </c>
      <c r="J35" s="0">
        <v>3.843349567597329</v>
      </c>
      <c r="K35" s="0">
        <v>-2.9797616675737117</v>
      </c>
      <c r="L35" s="0">
        <v>4.7549104896375169</v>
      </c>
      <c r="M35" s="0"/>
      <c r="N35" s="0"/>
    </row>
    <row r="36">
      <c r="A36" s="0" t="s">
        <v>123</v>
      </c>
      <c r="B36" s="0">
        <v>2030</v>
      </c>
      <c r="C36" s="0">
        <v>166.16095993962062</v>
      </c>
      <c r="D36" s="0">
        <v>162.22283681275974</v>
      </c>
      <c r="E36" s="0">
        <v>161.78280304265581</v>
      </c>
      <c r="F36" s="0">
        <v>1.1056626637787303</v>
      </c>
      <c r="G36" s="0">
        <v>0.055297275841894589</v>
      </c>
      <c r="H36" s="0">
        <v>3.9381231268608872</v>
      </c>
      <c r="I36" s="0">
        <v>0.44003377010392342</v>
      </c>
      <c r="J36" s="0">
        <v>4.3781568969648106</v>
      </c>
      <c r="K36" s="0">
        <v>-3.2171969573441856</v>
      </c>
      <c r="L36" s="0">
        <v>3.9597582883028282</v>
      </c>
      <c r="M36" s="0">
        <v>173.25866293314667</v>
      </c>
      <c r="N36" s="0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="http://schemas.openxmlformats.org/spreadsheetml/2006/main" xmlns:mc="http://schemas.openxmlformats.org/markup-compatibility/2006" xmlns:x14ac="http://schemas.microsoft.com/office/spreadsheetml/2009/9/ac" mc:Ignorable="x14ac">
  <dimension ref="A1:B13"/>
  <sheetViews>
    <sheetView showGridLines="false" workbookViewId="0">
      <pane ySplit="1" topLeftCell="A2" activePane="bottomLeft" state="frozen"/>
    </sheetView>
  </sheetViews>
  <sheetFormatPr defaultRowHeight="15"/>
  <cols>
    <col min="1" max="1" width="13.125" hidden="false" customWidth="true"/>
    <col min="2" max="2" width="103.125" hidden="false" customWidth="true"/>
  </cols>
  <sheetData>
    <row r="1">
      <c r="A1" s="0" t="s">
        <v>231</v>
      </c>
      <c r="B1" s="0" t="s">
        <v>243</v>
      </c>
    </row>
    <row r="2">
      <c r="A2" s="0" t="s">
        <v>232</v>
      </c>
      <c r="B2" s="0" t="s">
        <v>256</v>
      </c>
    </row>
    <row r="3">
      <c r="A3" s="0" t="s">
        <v>233</v>
      </c>
      <c r="B3" s="0" t="s">
        <v>245</v>
      </c>
    </row>
    <row r="4">
      <c r="A4" s="0" t="s">
        <v>234</v>
      </c>
      <c r="B4" s="0" t="s">
        <v>246</v>
      </c>
    </row>
    <row r="5">
      <c r="A5" s="0" t="s">
        <v>235</v>
      </c>
      <c r="B5" s="0" t="s">
        <v>247</v>
      </c>
    </row>
    <row r="6">
      <c r="A6" s="0" t="s">
        <v>236</v>
      </c>
      <c r="B6" s="0" t="s">
        <v>248</v>
      </c>
    </row>
    <row r="7">
      <c r="A7" s="0" t="s">
        <v>237</v>
      </c>
      <c r="B7" s="0" t="s">
        <v>249</v>
      </c>
    </row>
    <row r="8">
      <c r="A8" s="0" t="s">
        <v>238</v>
      </c>
      <c r="B8" s="0" t="s">
        <v>250</v>
      </c>
    </row>
    <row r="9">
      <c r="A9" s="0" t="s">
        <v>223</v>
      </c>
      <c r="B9" s="0" t="s">
        <v>257</v>
      </c>
    </row>
    <row r="10">
      <c r="A10" s="0" t="s">
        <v>239</v>
      </c>
      <c r="B10" s="0" t="s">
        <v>252</v>
      </c>
    </row>
    <row r="11">
      <c r="A11" s="0" t="s">
        <v>240</v>
      </c>
      <c r="B11" s="0" t="s">
        <v>253</v>
      </c>
    </row>
    <row r="12">
      <c r="A12" s="0" t="s">
        <v>241</v>
      </c>
      <c r="B12" s="0" t="s">
        <v>258</v>
      </c>
    </row>
    <row r="13">
      <c r="A13" s="0" t="s">
        <v>242</v>
      </c>
      <c r="B13" s="0" t="s">
        <v>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="http://schemas.openxmlformats.org/spreadsheetml/2006/main" xmlns:mc="http://schemas.openxmlformats.org/markup-compatibility/2006" xmlns:x14ac="http://schemas.microsoft.com/office/spreadsheetml/2009/9/ac" mc:Ignorable="x14ac">
  <dimension ref="A1:N15"/>
  <sheetViews>
    <sheetView showGridLines="false" workbookViewId="0">
      <pane ySplit="1" topLeftCell="A2" activePane="bottomLeft" state="frozen"/>
    </sheetView>
  </sheetViews>
  <sheetFormatPr defaultRowHeight="15"/>
  <cols>
    <col min="1" max="1" width="22" hidden="false" customWidth="true"/>
    <col min="2" max="2" width="22" hidden="false" customWidth="true"/>
    <col min="3" max="3" width="22" hidden="false" customWidth="true"/>
    <col min="4" max="4" width="22" hidden="false" customWidth="true"/>
    <col min="5" max="5" width="22" hidden="false" customWidth="true"/>
    <col min="6" max="6" width="22" hidden="false" customWidth="true"/>
    <col min="7" max="7" width="22" hidden="false" customWidth="true"/>
    <col min="8" max="8" width="22" hidden="false" customWidth="true"/>
    <col min="9" max="9" width="22" hidden="false" customWidth="true"/>
    <col min="10" max="10" width="22" hidden="false" customWidth="true"/>
    <col min="11" max="11" width="22" hidden="false" customWidth="true"/>
    <col min="12" max="12" width="22" hidden="false" customWidth="true"/>
    <col min="13" max="13" width="22" hidden="false" customWidth="true"/>
    <col min="14" max="14" width="22" hidden="false" customWidth="true"/>
  </cols>
  <sheetData>
    <row r="1" ht="48" customHeight="true">
      <c r="A1" s="8" t="str">
        <v>年份</v>
      </c>
      <c r="B1" s="8" t="str">
        <v>人口（万人）</v>
      </c>
      <c r="C1" s="8" t="str">
        <v>城镇化率（%）</v>
      </c>
      <c r="D1" s="8" t="str">
        <v>GDP（亿元，2023价代理）</v>
      </c>
      <c r="E1" s="8" t="str">
        <v>第一产业（亿元，2023价代理）</v>
      </c>
      <c r="F1" s="8" t="str">
        <v>第二产业（亿元，2023价代理）</v>
      </c>
      <c r="G1" s="8" t="str">
        <v>第三产业（亿元，2023价代理）</v>
      </c>
      <c r="H1" s="8" t="str">
        <v>播种/灌溉面积代理（千公顷）</v>
      </c>
      <c r="I1" s="8" t="str">
        <v>亩均灌溉用水量（m³/亩）</v>
      </c>
      <c r="J1" s="8" t="str">
        <v>工业增加值（亿元，2023价代理）</v>
      </c>
      <c r="K1" s="8" t="str">
        <v>工业强度原统计口径（m³/万元）</v>
      </c>
      <c r="L1" s="8" t="str">
        <v>省GDP平减代理（2023=1）</v>
      </c>
      <c r="M1" s="8" t="str">
        <v>工业强度2023价代理（m³/万元）</v>
      </c>
      <c r="N1" s="8" t="str">
        <v>实际总需水量（亿m³）</v>
      </c>
    </row>
    <row r="2" ht="27" customHeight="true">
      <c r="A2" s="10" t="n">
        <v>2010</v>
      </c>
      <c r="B2" s="9" t="n">
        <v>2977</v>
      </c>
      <c r="C2" s="9" t="n">
        <v>51.85957037285858</v>
      </c>
      <c r="D2" s="9" t="n">
        <v>10910.14227775772</v>
      </c>
      <c r="E2" s="9" t="n">
        <v>1495.422483774954</v>
      </c>
      <c r="F2" s="9" t="n">
        <v>5208.7408627298</v>
      </c>
      <c r="G2" s="9" t="n">
        <v>4205.978931252966</v>
      </c>
      <c r="H2" s="9" t="n">
        <v>4660.6</v>
      </c>
      <c r="I2" s="9" t="n">
        <v>447</v>
      </c>
      <c r="J2" s="9" t="n">
        <v>4353.271973414934</v>
      </c>
      <c r="K2" s="9" t="n">
        <v>30</v>
      </c>
      <c r="L2" s="9" t="n">
        <v>0.8176217846568118</v>
      </c>
      <c r="M2" s="2" t="n">
        <f>K2*L2</f>
        <v>24.528653539704354</v>
      </c>
      <c r="N2" s="9" t="n">
        <v>191.3</v>
      </c>
    </row>
    <row r="3" ht="27" customHeight="true">
      <c r="A3" s="10" t="n">
        <v>2011</v>
      </c>
      <c r="B3" s="9" t="n">
        <v>2956.6</v>
      </c>
      <c r="C3" s="9" t="n">
        <v>52.99173510112967</v>
      </c>
      <c r="D3" s="9" t="n">
        <v>12359.82535011213</v>
      </c>
      <c r="E3" s="9" t="n">
        <v>1597.4560601439744</v>
      </c>
      <c r="F3" s="9" t="n">
        <v>5920.01805694362</v>
      </c>
      <c r="G3" s="9" t="n">
        <v>4842.351233024535</v>
      </c>
      <c r="H3" s="9" t="n">
        <v>4696.7</v>
      </c>
      <c r="I3" s="9" t="n">
        <v>442</v>
      </c>
      <c r="J3" s="9" t="n">
        <v>4949.829175572928</v>
      </c>
      <c r="K3" s="9" t="n">
        <v>27</v>
      </c>
      <c r="L3" s="9" t="n">
        <v>0.8692946458100661</v>
      </c>
      <c r="M3" s="2" t="n">
        <f>K3*L3</f>
        <v>23.470955436871783</v>
      </c>
      <c r="N3" s="9" t="n">
        <v>192.4</v>
      </c>
    </row>
    <row r="4" ht="27" customHeight="true">
      <c r="A4" s="10" t="n">
        <v>2012</v>
      </c>
      <c r="B4" s="9" t="n">
        <v>2943.7300000000005</v>
      </c>
      <c r="C4" s="9" t="n">
        <v>54.10560513362297</v>
      </c>
      <c r="D4" s="9" t="n">
        <v>14045.768697316025</v>
      </c>
      <c r="E4" s="9" t="n">
        <v>1782.1254868898795</v>
      </c>
      <c r="F4" s="9" t="n">
        <v>6667.916522811654</v>
      </c>
      <c r="G4" s="9" t="n">
        <v>5595.72668761449</v>
      </c>
      <c r="H4" s="9" t="n">
        <v>4706.1</v>
      </c>
      <c r="I4" s="9" t="n">
        <v>397</v>
      </c>
      <c r="J4" s="9" t="n">
        <v>5574.490183174302</v>
      </c>
      <c r="K4" s="9" t="n">
        <v>20</v>
      </c>
      <c r="L4" s="9" t="n">
        <v>0.8673743860190444</v>
      </c>
      <c r="M4" s="2" t="n">
        <f>K4*L4</f>
        <v>17.347487720380887</v>
      </c>
      <c r="N4" s="9" t="n">
        <v>189.5</v>
      </c>
    </row>
    <row r="5" ht="27" customHeight="true">
      <c r="A5" s="10" t="n">
        <v>2013</v>
      </c>
      <c r="B5" s="9" t="n">
        <v>2940.49</v>
      </c>
      <c r="C5" s="9" t="n">
        <v>55.495703437182236</v>
      </c>
      <c r="D5" s="9" t="n">
        <v>15777.682684267613</v>
      </c>
      <c r="E5" s="9" t="n">
        <v>1860.7755164008947</v>
      </c>
      <c r="F5" s="9" t="n">
        <v>7366.290717103685</v>
      </c>
      <c r="G5" s="9" t="n">
        <v>6550.627894646897</v>
      </c>
      <c r="H5" s="9" t="n">
        <v>4720.59</v>
      </c>
      <c r="I5" s="9" t="n">
        <v>417</v>
      </c>
      <c r="J5" s="9" t="n">
        <v>6110.976764332692</v>
      </c>
      <c r="K5" s="9" t="n">
        <v>21.4</v>
      </c>
      <c r="L5" s="9" t="n">
        <v>0.8738292102773382</v>
      </c>
      <c r="M5" s="2" t="n">
        <f>K5*L5</f>
        <v>18.699945099935036</v>
      </c>
      <c r="N5" s="9" t="n">
        <v>187.6</v>
      </c>
    </row>
    <row r="6" ht="27" customHeight="true">
      <c r="A6" s="10" t="n">
        <v>2014</v>
      </c>
      <c r="B6" s="9" t="n">
        <v>2952.06</v>
      </c>
      <c r="C6" s="9" t="n">
        <v>56.71280665027134</v>
      </c>
      <c r="D6" s="9" t="n">
        <v>17238.345407108995</v>
      </c>
      <c r="E6" s="9" t="n">
        <v>2000.566399539076</v>
      </c>
      <c r="F6" s="9" t="n">
        <v>7893.054637674635</v>
      </c>
      <c r="G6" s="9" t="n">
        <v>7344.724369895283</v>
      </c>
      <c r="H6" s="9" t="n">
        <v>4710.49</v>
      </c>
      <c r="I6" s="9" t="n">
        <v>405.4</v>
      </c>
      <c r="J6" s="9" t="n">
        <v>6598.257954935156</v>
      </c>
      <c r="K6" s="9" t="n">
        <v>18.9</v>
      </c>
      <c r="L6" s="9" t="n">
        <v>0.878941084087549</v>
      </c>
      <c r="M6" s="2" t="n">
        <f>K6*L6</f>
        <v>16.611986489254676</v>
      </c>
      <c r="N6" s="9" t="n">
        <v>190.9</v>
      </c>
    </row>
    <row r="7" ht="27" customHeight="true">
      <c r="A7" s="10" t="n">
        <v>2015</v>
      </c>
      <c r="B7" s="9" t="n">
        <v>2957.9</v>
      </c>
      <c r="C7" s="9" t="n">
        <v>58.321004766895435</v>
      </c>
      <c r="D7" s="9" t="n">
        <v>18910.061764303206</v>
      </c>
      <c r="E7" s="9" t="n">
        <v>2198.3641391934234</v>
      </c>
      <c r="F7" s="9" t="n">
        <v>8327.649235742281</v>
      </c>
      <c r="G7" s="9" t="n">
        <v>8384.01466453974</v>
      </c>
      <c r="H7" s="9" t="n">
        <v>4728.88</v>
      </c>
      <c r="I7" s="9" t="n">
        <v>388.7</v>
      </c>
      <c r="J7" s="9" t="n">
        <v>7033.245379847871</v>
      </c>
      <c r="K7" s="9" t="n">
        <v>18.1</v>
      </c>
      <c r="L7" s="9" t="n">
        <v>0.8895523562886594</v>
      </c>
      <c r="M7" s="2" t="n">
        <f>K7*L7</f>
        <v>16.100897648824734</v>
      </c>
      <c r="N7" s="9" t="n">
        <v>184.6</v>
      </c>
    </row>
    <row r="8" ht="27" customHeight="true">
      <c r="A8" s="10" t="n">
        <v>2016</v>
      </c>
      <c r="B8" s="9" t="n">
        <v>2970.15</v>
      </c>
      <c r="C8" s="9" t="n">
        <v>59.59264212245172</v>
      </c>
      <c r="D8" s="9" t="n">
        <v>20608.221406836947</v>
      </c>
      <c r="E8" s="9" t="n">
        <v>2280.0367340354032</v>
      </c>
      <c r="F8" s="9" t="n">
        <v>8928.256301045796</v>
      </c>
      <c r="G8" s="9" t="n">
        <v>9399.906044612215</v>
      </c>
      <c r="H8" s="9" t="n">
        <v>4701.509999999999</v>
      </c>
      <c r="I8" s="9" t="n">
        <v>430.5</v>
      </c>
      <c r="J8" s="9" t="n">
        <v>7585.6023611069395</v>
      </c>
      <c r="K8" s="9" t="n">
        <v>14.2</v>
      </c>
      <c r="L8" s="9" t="n">
        <v>0.8957706555829056</v>
      </c>
      <c r="M8" s="2" t="n">
        <f>K8*L8</f>
        <v>12.719943309277259</v>
      </c>
      <c r="N8" s="9" t="n">
        <v>187.9</v>
      </c>
    </row>
    <row r="9" ht="27" customHeight="true">
      <c r="A9" s="10" t="n">
        <v>2017</v>
      </c>
      <c r="B9" s="9" t="n">
        <v>2987.39</v>
      </c>
      <c r="C9" s="9" t="n">
        <v>60.704311121078945</v>
      </c>
      <c r="D9" s="9" t="n">
        <v>21745.165249397447</v>
      </c>
      <c r="E9" s="9" t="n">
        <v>2293.725028369266</v>
      </c>
      <c r="F9" s="9" t="n">
        <v>9318.868350920886</v>
      </c>
      <c r="G9" s="9" t="n">
        <v>10132.58265020744</v>
      </c>
      <c r="H9" s="9" t="n">
        <v>4663.73</v>
      </c>
      <c r="I9" s="9" t="n">
        <v>443.3</v>
      </c>
      <c r="J9" s="9" t="n">
        <v>8205.122304383382</v>
      </c>
      <c r="K9" s="9" t="n">
        <v>16.2</v>
      </c>
      <c r="L9" s="9" t="n">
        <v>0.9276351671118688</v>
      </c>
      <c r="M9" s="2" t="n">
        <f>K9*L9</f>
        <v>15.027689707212273</v>
      </c>
      <c r="N9" s="9" t="n">
        <v>191.2</v>
      </c>
    </row>
    <row r="10" ht="27" customHeight="true">
      <c r="A10" s="10" t="n">
        <v>2018</v>
      </c>
      <c r="B10" s="9" t="n">
        <v>2992.03</v>
      </c>
      <c r="C10" s="9" t="n">
        <v>61.864358646136566</v>
      </c>
      <c r="D10" s="9" t="n">
        <v>22783.682561494486</v>
      </c>
      <c r="E10" s="9" t="n">
        <v>2386.1858033272642</v>
      </c>
      <c r="F10" s="9" t="n">
        <v>9587.978319946775</v>
      </c>
      <c r="G10" s="9" t="n">
        <v>10809.518438220448</v>
      </c>
      <c r="H10" s="9" t="n">
        <v>4713.77</v>
      </c>
      <c r="I10" s="9" t="n">
        <v>414.4620848441186</v>
      </c>
      <c r="J10" s="9" t="n">
        <v>8191.251245071441</v>
      </c>
      <c r="K10" s="9" t="n">
        <v>13.3</v>
      </c>
      <c r="L10" s="9" t="n">
        <v>0.9436775614288442</v>
      </c>
      <c r="M10" s="2" t="n">
        <f>K10*L10</f>
        <v>12.550911567003629</v>
      </c>
      <c r="N10" s="9" t="n">
        <v>164.878277864979</v>
      </c>
    </row>
    <row r="11" ht="27" customHeight="true">
      <c r="A11" s="10" t="n">
        <v>2019</v>
      </c>
      <c r="B11" s="9" t="n">
        <v>2997.58</v>
      </c>
      <c r="C11" s="9" t="n">
        <v>62.964549736787674</v>
      </c>
      <c r="D11" s="9" t="n">
        <v>24129.925164777207</v>
      </c>
      <c r="E11" s="9" t="n">
        <v>2519.264806395469</v>
      </c>
      <c r="F11" s="9" t="n">
        <v>9979.794571395214</v>
      </c>
      <c r="G11" s="9" t="n">
        <v>11630.865786986522</v>
      </c>
      <c r="H11" s="9" t="n">
        <v>4717.45</v>
      </c>
      <c r="I11" s="9" t="n">
        <v>458.61340716900486</v>
      </c>
      <c r="J11" s="9" t="n">
        <v>8232.253867200849</v>
      </c>
      <c r="K11" s="9" t="n">
        <v>12.6</v>
      </c>
      <c r="L11" s="9" t="n">
        <v>0.9431997755725381</v>
      </c>
      <c r="M11" s="2" t="n">
        <f>K11*L11</f>
        <v>11.88431717221398</v>
      </c>
      <c r="N11" s="9" t="n">
        <v>176.773016728772</v>
      </c>
    </row>
    <row r="12" ht="27" customHeight="true">
      <c r="A12" s="10" t="n">
        <v>2020</v>
      </c>
      <c r="B12" s="9" t="n">
        <v>2994.2900000000004</v>
      </c>
      <c r="C12" s="9" t="n">
        <v>64.08264663743324</v>
      </c>
      <c r="D12" s="9" t="n">
        <v>25061.822075630014</v>
      </c>
      <c r="E12" s="9" t="n">
        <v>2655.667143925762</v>
      </c>
      <c r="F12" s="9" t="n">
        <v>10133.49061104512</v>
      </c>
      <c r="G12" s="9" t="n">
        <v>12272.664320659132</v>
      </c>
      <c r="H12" s="9" t="n">
        <v>4758.77</v>
      </c>
      <c r="I12" s="9" t="n">
        <v>391.8</v>
      </c>
      <c r="J12" s="9" t="n">
        <v>8218.179255666239</v>
      </c>
      <c r="K12" s="9" t="n">
        <v>11.7</v>
      </c>
      <c r="L12" s="9" t="n">
        <v>0.9478145654500607</v>
      </c>
      <c r="M12" s="2" t="n">
        <f>K12*L12</f>
        <v>11.08943041576571</v>
      </c>
      <c r="N12" s="9" t="n">
        <v>166.9</v>
      </c>
    </row>
    <row r="13" ht="27" customHeight="true">
      <c r="A13" s="10" t="n">
        <v>2021</v>
      </c>
      <c r="B13" s="9" t="n">
        <v>2990.47</v>
      </c>
      <c r="C13" s="9" t="n">
        <v>64.79945761034219</v>
      </c>
      <c r="D13" s="9" t="n">
        <v>26938.614821518735</v>
      </c>
      <c r="E13" s="9" t="n">
        <v>2670.068552975568</v>
      </c>
      <c r="F13" s="9" t="n">
        <v>11243.039472792732</v>
      </c>
      <c r="G13" s="9" t="n">
        <v>13025.506795750436</v>
      </c>
      <c r="H13" s="9" t="n">
        <v>4768</v>
      </c>
      <c r="I13" s="9" t="n">
        <v>381.7108851326603</v>
      </c>
      <c r="J13" s="9" t="n">
        <v>9297.394473926994</v>
      </c>
      <c r="K13" s="9" t="n">
        <v>7.5</v>
      </c>
      <c r="L13" s="9" t="n">
        <v>0.9938246705474311</v>
      </c>
      <c r="M13" s="2" t="n">
        <f>K13*L13</f>
        <v>7.453685029105733</v>
      </c>
      <c r="N13" s="9" t="n">
        <v>164.5</v>
      </c>
    </row>
    <row r="14" ht="27" customHeight="true">
      <c r="A14" s="10" t="n">
        <v>2022</v>
      </c>
      <c r="B14" s="9" t="n">
        <v>2983.71</v>
      </c>
      <c r="C14" s="9" t="n">
        <v>65.46539509536785</v>
      </c>
      <c r="D14" s="9" t="n">
        <v>28079.838708030584</v>
      </c>
      <c r="E14" s="9" t="n">
        <v>2792.9738808426796</v>
      </c>
      <c r="F14" s="9" t="n">
        <v>11886.450855232331</v>
      </c>
      <c r="G14" s="9" t="n">
        <v>13400.404045370058</v>
      </c>
      <c r="H14" s="9" t="n">
        <v>4783.75</v>
      </c>
      <c r="I14" s="9" t="n">
        <v>384.17447095166375</v>
      </c>
      <c r="J14" s="9" t="n">
        <v>10016.629574307222</v>
      </c>
      <c r="K14" s="9" t="n">
        <v>6.9</v>
      </c>
      <c r="L14" s="9" t="n">
        <v>1.0073957437622325</v>
      </c>
      <c r="M14" s="2" t="n">
        <f>K14*L14</f>
        <v>6.951030631959405</v>
      </c>
      <c r="N14" s="9">
        <v>194.30000000000001</v>
      </c>
    </row>
    <row r="15" ht="27" customHeight="true">
      <c r="A15" s="10" t="n">
        <v>2023</v>
      </c>
      <c r="B15" s="9" t="n">
        <v>2981.85</v>
      </c>
      <c r="C15" s="9" t="n">
        <v>66.33495313312206</v>
      </c>
      <c r="D15" s="9" t="n">
        <v>30081.05</v>
      </c>
      <c r="E15" s="9" t="n">
        <v>2877.83</v>
      </c>
      <c r="F15" s="9" t="n">
        <v>12580.36</v>
      </c>
      <c r="G15" s="9" t="n">
        <v>14622.86</v>
      </c>
      <c r="H15" s="9" t="n">
        <v>4799.06</v>
      </c>
      <c r="I15" s="9" t="n">
        <v>386.6380567706673</v>
      </c>
      <c r="J15" s="9" t="n">
        <v>10362.03</v>
      </c>
      <c r="K15" s="9" t="n">
        <v>6.9</v>
      </c>
      <c r="L15" s="9" t="n">
        <v>1</v>
      </c>
      <c r="M15" s="2" t="n">
        <f>K15*L15</f>
        <v>6.9</v>
      </c>
      <c r="N15" s="9" t="n">
        <v>165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="http://schemas.openxmlformats.org/spreadsheetml/2006/main" xmlns:mc="http://schemas.openxmlformats.org/markup-compatibility/2006" xmlns:x14ac="http://schemas.microsoft.com/office/spreadsheetml/2009/9/ac" mc:Ignorable="x14ac">
  <dimension ref="A1:L36"/>
  <sheetViews>
    <sheetView showGridLines="false" workbookViewId="0">
      <pane ySplit="1" topLeftCell="A2" activePane="bottomLeft" state="frozen"/>
    </sheetView>
  </sheetViews>
  <sheetFormatPr defaultRowHeight="15"/>
  <cols>
    <col min="1" max="1" width="22" hidden="false" customWidth="true"/>
    <col min="2" max="2" width="22" hidden="false" customWidth="true"/>
    <col min="3" max="3" width="22" hidden="false" customWidth="true"/>
    <col min="4" max="4" width="22" hidden="false" customWidth="true"/>
    <col min="5" max="5" width="22" hidden="false" customWidth="true"/>
    <col min="6" max="6" width="22" hidden="false" customWidth="true"/>
    <col min="7" max="7" width="22" hidden="false" customWidth="true"/>
    <col min="8" max="8" width="22" hidden="false" customWidth="true"/>
    <col min="9" max="9" width="22" hidden="false" customWidth="true"/>
    <col min="10" max="10" width="22" hidden="false" customWidth="true"/>
    <col min="11" max="11" width="22" hidden="false" customWidth="true"/>
    <col min="12" max="12" width="22" hidden="false" customWidth="true"/>
  </cols>
  <sheetData>
    <row r="1" ht="48" customHeight="true">
      <c r="A1" s="8" t="str">
        <v>情景</v>
      </c>
      <c r="B1" s="8" t="str">
        <v>年份</v>
      </c>
      <c r="C1" s="8" t="str">
        <v>人口（万人）</v>
      </c>
      <c r="D1" s="8" t="str">
        <v>城镇化率（%）</v>
      </c>
      <c r="E1" s="8" t="str">
        <v>GDP（亿元，2023价代理）</v>
      </c>
      <c r="F1" s="8" t="str">
        <v>第一产业（亿元，2023价代理）</v>
      </c>
      <c r="G1" s="8" t="str">
        <v>第二产业（亿元，2023价代理）</v>
      </c>
      <c r="H1" s="8" t="str">
        <v>第三产业（亿元，2023价代理）</v>
      </c>
      <c r="I1" s="8" t="str">
        <v>播种/灌溉面积代理（千公顷）</v>
      </c>
      <c r="J1" s="8" t="str">
        <v>原农业强度趋势（m³/亩）</v>
      </c>
      <c r="K1" s="8" t="str">
        <v>工业增加值（亿元，2023价代理）</v>
      </c>
      <c r="L1" s="8" t="str">
        <v>节水速度倍数</v>
      </c>
    </row>
    <row r="2" ht="27" customHeight="true">
      <c r="A2" s="2" t="str">
        <v>SSP1</v>
      </c>
      <c r="B2" s="10" t="n">
        <v>2024</v>
      </c>
      <c r="C2" s="9" t="n">
        <v>2970.4523868791207</v>
      </c>
      <c r="D2" s="9" t="n">
        <v>67.03169392607987</v>
      </c>
      <c r="E2" s="9" t="n">
        <v>31257.12020712963</v>
      </c>
      <c r="F2" s="9" t="n">
        <v>2938.7916478664156</v>
      </c>
      <c r="G2" s="9" t="n">
        <v>12987.824274322105</v>
      </c>
      <c r="H2" s="9" t="n">
        <v>15330.504284941107</v>
      </c>
      <c r="I2" s="9" t="n">
        <v>4806.454354861586</v>
      </c>
      <c r="J2" s="9" t="n">
        <v>383.2788235990243</v>
      </c>
      <c r="K2" s="9" t="n">
        <v>10669.120344970781</v>
      </c>
      <c r="L2" s="9" t="n">
        <v>1.2</v>
      </c>
    </row>
    <row r="3" ht="27" customHeight="true">
      <c r="A3" s="2" t="str">
        <v>SSP1</v>
      </c>
      <c r="B3" s="10" t="n">
        <v>2025</v>
      </c>
      <c r="C3" s="9" t="n">
        <v>2958.6454121666807</v>
      </c>
      <c r="D3" s="9" t="n">
        <v>67.79241592430354</v>
      </c>
      <c r="E3" s="9" t="n">
        <v>32429.779047987355</v>
      </c>
      <c r="F3" s="9" t="n">
        <v>2997.8655827389516</v>
      </c>
      <c r="G3" s="9" t="n">
        <v>13389.895709155471</v>
      </c>
      <c r="H3" s="9" t="n">
        <v>16042.017756092933</v>
      </c>
      <c r="I3" s="9" t="n">
        <v>4813.587175674703</v>
      </c>
      <c r="J3" s="9" t="n">
        <v>379.9487765028435</v>
      </c>
      <c r="K3" s="9" t="n">
        <v>10980.948670967859</v>
      </c>
      <c r="L3" s="9" t="n">
        <v>1.2</v>
      </c>
    </row>
    <row r="4" ht="27" customHeight="true">
      <c r="A4" s="2" t="str">
        <v>SSP1</v>
      </c>
      <c r="B4" s="10" t="n">
        <v>2026</v>
      </c>
      <c r="C4" s="9" t="n">
        <v>2946.2690945716795</v>
      </c>
      <c r="D4" s="9" t="n">
        <v>68.51312012875472</v>
      </c>
      <c r="E4" s="9" t="n">
        <v>33525.60159126106</v>
      </c>
      <c r="F4" s="9" t="n">
        <v>3051.191948947464</v>
      </c>
      <c r="G4" s="9" t="n">
        <v>13761.158562793364</v>
      </c>
      <c r="H4" s="9" t="n">
        <v>16713.251079520236</v>
      </c>
      <c r="I4" s="9" t="n">
        <v>4820.466946387096</v>
      </c>
      <c r="J4" s="9" t="n">
        <v>376.6476619043119</v>
      </c>
      <c r="K4" s="9" t="n">
        <v>11273.548854276332</v>
      </c>
      <c r="L4" s="9" t="n">
        <v>1.2</v>
      </c>
    </row>
    <row r="5" ht="27" customHeight="true">
      <c r="A5" s="2" t="str">
        <v>SSP1</v>
      </c>
      <c r="B5" s="10" t="n">
        <v>2027</v>
      </c>
      <c r="C5" s="9" t="n">
        <v>2933.165187678189</v>
      </c>
      <c r="D5" s="9" t="n">
        <v>69.1951392801872</v>
      </c>
      <c r="E5" s="9" t="n">
        <v>34607.363944953446</v>
      </c>
      <c r="F5" s="9" t="n">
        <v>3102.209862304352</v>
      </c>
      <c r="G5" s="9" t="n">
        <v>14123.775338228033</v>
      </c>
      <c r="H5" s="9" t="n">
        <v>17381.378744421057</v>
      </c>
      <c r="I5" s="9" t="n">
        <v>4827.10193155039</v>
      </c>
      <c r="J5" s="9" t="n">
        <v>373.37522842878053</v>
      </c>
      <c r="K5" s="9" t="n">
        <v>11562.983320709014</v>
      </c>
      <c r="L5" s="9" t="n">
        <v>1.2</v>
      </c>
    </row>
    <row r="6" ht="27" customHeight="true">
      <c r="A6" s="2" t="str">
        <v>SSP1</v>
      </c>
      <c r="B6" s="10" t="n">
        <v>2028</v>
      </c>
      <c r="C6" s="9" t="n">
        <v>2919.4396086064417</v>
      </c>
      <c r="D6" s="9" t="n">
        <v>69.83987994840884</v>
      </c>
      <c r="E6" s="9" t="n">
        <v>35675.42353630768</v>
      </c>
      <c r="F6" s="9" t="n">
        <v>3151.0528913839253</v>
      </c>
      <c r="G6" s="9" t="n">
        <v>14478.078975472195</v>
      </c>
      <c r="H6" s="9" t="n">
        <v>18046.29166945156</v>
      </c>
      <c r="I6" s="9" t="n">
        <v>4833.500177775049</v>
      </c>
      <c r="J6" s="9" t="n">
        <v>370.1312268856223</v>
      </c>
      <c r="K6" s="9" t="n">
        <v>11848.119367481104</v>
      </c>
      <c r="L6" s="9" t="n">
        <v>1.2</v>
      </c>
    </row>
    <row r="7" ht="27" customHeight="true">
      <c r="A7" s="2" t="str">
        <v>SSP1</v>
      </c>
      <c r="B7" s="10" t="n">
        <v>2029</v>
      </c>
      <c r="C7" s="9" t="n">
        <v>2905.1761702918884</v>
      </c>
      <c r="D7" s="9" t="n">
        <v>70.4487958178219</v>
      </c>
      <c r="E7" s="9" t="n">
        <v>36730.13906350624</v>
      </c>
      <c r="F7" s="9" t="n">
        <v>3197.8409227602206</v>
      </c>
      <c r="G7" s="9" t="n">
        <v>14824.382357782773</v>
      </c>
      <c r="H7" s="9" t="n">
        <v>18707.915782963242</v>
      </c>
      <c r="I7" s="9" t="n">
        <v>4839.669515552695</v>
      </c>
      <c r="J7" s="9" t="n">
        <v>366.9154102492569</v>
      </c>
      <c r="K7" s="9" t="n">
        <v>12128.307560666564</v>
      </c>
      <c r="L7" s="9" t="n">
        <v>1.2</v>
      </c>
    </row>
    <row r="8" ht="27" customHeight="true">
      <c r="A8" s="2" t="str">
        <v>SSP1</v>
      </c>
      <c r="B8" s="10" t="n">
        <v>2030</v>
      </c>
      <c r="C8" s="9" t="n">
        <v>2890.441568180319</v>
      </c>
      <c r="D8" s="9" t="n">
        <v>71.02336934230698</v>
      </c>
      <c r="E8" s="9" t="n">
        <v>37771.874993736325</v>
      </c>
      <c r="F8" s="9" t="n">
        <v>3242.6823452577096</v>
      </c>
      <c r="G8" s="9" t="n">
        <v>15162.982027634875</v>
      </c>
      <c r="H8" s="9" t="n">
        <v>19366.21062084374</v>
      </c>
      <c r="I8" s="9" t="n">
        <v>4845.617561409647</v>
      </c>
      <c r="J8" s="9" t="n">
        <v>363.72753364033997</v>
      </c>
      <c r="K8" s="9" t="n">
        <v>12403.213235664984</v>
      </c>
      <c r="L8" s="9" t="n">
        <v>1.2</v>
      </c>
    </row>
    <row r="9" ht="27" customHeight="true">
      <c r="A9" s="2" t="str">
        <v>SSP2</v>
      </c>
      <c r="B9" s="10" t="n">
        <v>2024</v>
      </c>
      <c r="C9" s="9" t="n">
        <v>2970.588494810539</v>
      </c>
      <c r="D9" s="9" t="n">
        <v>67.0316883400998</v>
      </c>
      <c r="E9" s="9" t="n">
        <v>31210.818658738837</v>
      </c>
      <c r="F9" s="9" t="n">
        <v>2936.250875451996</v>
      </c>
      <c r="G9" s="9" t="n">
        <v>12970.694886181394</v>
      </c>
      <c r="H9" s="9" t="n">
        <v>15303.87289710545</v>
      </c>
      <c r="I9" s="9" t="n">
        <v>4807.259648697739</v>
      </c>
      <c r="J9" s="9" t="n">
        <v>383.8366621029288</v>
      </c>
      <c r="K9" s="9" t="n">
        <v>10654.851629344428</v>
      </c>
      <c r="L9" s="9" t="n">
        <v>1</v>
      </c>
    </row>
    <row r="10" ht="27" customHeight="true">
      <c r="A10" s="2" t="str">
        <v>SSP2</v>
      </c>
      <c r="B10" s="10" t="n">
        <v>2025</v>
      </c>
      <c r="C10" s="9" t="n">
        <v>2959.2175600253363</v>
      </c>
      <c r="D10" s="9" t="n">
        <v>67.79239844478651</v>
      </c>
      <c r="E10" s="9" t="n">
        <v>32333.349863060106</v>
      </c>
      <c r="F10" s="9" t="n">
        <v>2992.780034349006</v>
      </c>
      <c r="G10" s="9" t="n">
        <v>13354.76514997591</v>
      </c>
      <c r="H10" s="9" t="n">
        <v>15985.804678735189</v>
      </c>
      <c r="I10" s="9" t="n">
        <v>4815.137587735042</v>
      </c>
      <c r="J10" s="9" t="n">
        <v>381.05556500276555</v>
      </c>
      <c r="K10" s="9" t="n">
        <v>10951.715306495595</v>
      </c>
      <c r="L10" s="9" t="n">
        <v>1</v>
      </c>
    </row>
    <row r="11" ht="27" customHeight="true">
      <c r="A11" s="2" t="str">
        <v>SSP2</v>
      </c>
      <c r="B11" s="10" t="n">
        <v>2026</v>
      </c>
      <c r="C11" s="9" t="n">
        <v>2947.5914562471735</v>
      </c>
      <c r="D11" s="9" t="n">
        <v>68.51309376293264</v>
      </c>
      <c r="E11" s="9" t="n">
        <v>33375.70327443704</v>
      </c>
      <c r="F11" s="9" t="n">
        <v>3043.598233517593</v>
      </c>
      <c r="G11" s="9" t="n">
        <v>13707.369112466375</v>
      </c>
      <c r="H11" s="9" t="n">
        <v>16624.73592845307</v>
      </c>
      <c r="I11" s="9" t="n">
        <v>4822.705404670679</v>
      </c>
      <c r="J11" s="9" t="n">
        <v>378.2946184036987</v>
      </c>
      <c r="K11" s="9" t="n">
        <v>11228.83007609902</v>
      </c>
      <c r="L11" s="9" t="n">
        <v>1</v>
      </c>
    </row>
    <row r="12" ht="27" customHeight="true">
      <c r="A12" s="2" t="str">
        <v>SSP2</v>
      </c>
      <c r="B12" s="10" t="n">
        <v>2027</v>
      </c>
      <c r="C12" s="9" t="n">
        <v>2935.5670289052787</v>
      </c>
      <c r="D12" s="9" t="n">
        <v>69.1951171550834</v>
      </c>
      <c r="E12" s="9" t="n">
        <v>34400.836382302965</v>
      </c>
      <c r="F12" s="9" t="n">
        <v>3092.1765903383443</v>
      </c>
      <c r="G12" s="9" t="n">
        <v>14050.79299130808</v>
      </c>
      <c r="H12" s="9" t="n">
        <v>17257.86680065654</v>
      </c>
      <c r="I12" s="9" t="n">
        <v>4829.974353134205</v>
      </c>
      <c r="J12" s="9" t="n">
        <v>375.5536763048228</v>
      </c>
      <c r="K12" s="9" t="n">
        <v>11502.357593500228</v>
      </c>
      <c r="L12" s="9" t="n">
        <v>1</v>
      </c>
    </row>
    <row r="13" ht="27" customHeight="true">
      <c r="A13" s="2" t="str">
        <v>SSP2</v>
      </c>
      <c r="B13" s="10" t="n">
        <v>2028</v>
      </c>
      <c r="C13" s="9" t="n">
        <v>2923.2682880226994</v>
      </c>
      <c r="D13" s="9" t="n">
        <v>69.8398862622524</v>
      </c>
      <c r="E13" s="9" t="n">
        <v>35409.373407263236</v>
      </c>
      <c r="F13" s="9" t="n">
        <v>3138.6835048539965</v>
      </c>
      <c r="G13" s="9" t="n">
        <v>14385.5183673015</v>
      </c>
      <c r="H13" s="9" t="n">
        <v>17885.17153510774</v>
      </c>
      <c r="I13" s="9" t="n">
        <v>4836.955355465989</v>
      </c>
      <c r="J13" s="9" t="n">
        <v>372.83259376308547</v>
      </c>
      <c r="K13" s="9" t="n">
        <v>11771.285389167622</v>
      </c>
      <c r="L13" s="9" t="n">
        <v>1</v>
      </c>
    </row>
    <row r="14" ht="27" customHeight="true">
      <c r="A14" s="2" t="str">
        <v>SSP2</v>
      </c>
      <c r="B14" s="10" t="n">
        <v>2029</v>
      </c>
      <c r="C14" s="9" t="n">
        <v>2910.797877000371</v>
      </c>
      <c r="D14" s="9" t="n">
        <v>70.44886630785194</v>
      </c>
      <c r="E14" s="9" t="n">
        <v>36401.9413265476</v>
      </c>
      <c r="F14" s="9" t="n">
        <v>3183.2733570765004</v>
      </c>
      <c r="G14" s="9" t="n">
        <v>14712.005938925764</v>
      </c>
      <c r="H14" s="9" t="n">
        <v>18506.66203054534</v>
      </c>
      <c r="I14" s="9" t="n">
        <v>4843.659006025617</v>
      </c>
      <c r="J14" s="9" t="n">
        <v>370.1312268856223</v>
      </c>
      <c r="K14" s="9" t="n">
        <v>12035.083991282194</v>
      </c>
      <c r="L14" s="9" t="n">
        <v>1</v>
      </c>
    </row>
    <row r="15" ht="27" customHeight="true">
      <c r="A15" s="2" t="str">
        <v>SSP2</v>
      </c>
      <c r="B15" s="10" t="n">
        <v>2030</v>
      </c>
      <c r="C15" s="9" t="n">
        <v>2898.241392694676</v>
      </c>
      <c r="D15" s="9" t="n">
        <v>71.02355151091737</v>
      </c>
      <c r="E15" s="9" t="n">
        <v>37379.16514722454</v>
      </c>
      <c r="F15" s="9" t="n">
        <v>3226.0880723113055</v>
      </c>
      <c r="G15" s="9" t="n">
        <v>15030.696047464022</v>
      </c>
      <c r="H15" s="9" t="n">
        <v>19122.38102744922</v>
      </c>
      <c r="I15" s="9" t="n">
        <v>4850.0955750948315</v>
      </c>
      <c r="J15" s="9" t="n">
        <v>367.44943282214786</v>
      </c>
      <c r="K15" s="9" t="n">
        <v>12293.535718208348</v>
      </c>
      <c r="L15" s="9" t="n">
        <v>1</v>
      </c>
    </row>
    <row r="16" ht="27" customHeight="true">
      <c r="A16" s="2" t="str">
        <v>SSP3</v>
      </c>
      <c r="B16" s="10" t="n">
        <v>2024</v>
      </c>
      <c r="C16" s="9" t="n">
        <v>2970.6320346796415</v>
      </c>
      <c r="D16" s="9" t="n">
        <v>67.03171610917313</v>
      </c>
      <c r="E16" s="9" t="n">
        <v>31192.144036428064</v>
      </c>
      <c r="F16" s="9" t="n">
        <v>2935.1734250748564</v>
      </c>
      <c r="G16" s="9" t="n">
        <v>12963.843462789848</v>
      </c>
      <c r="H16" s="9" t="n">
        <v>15293.127148563362</v>
      </c>
      <c r="I16" s="9" t="n">
        <v>4808.061725714434</v>
      </c>
      <c r="J16" s="9" t="n">
        <v>384.3953125061017</v>
      </c>
      <c r="K16" s="9" t="n">
        <v>10649.162690713305</v>
      </c>
      <c r="L16" s="9" t="n">
        <v>0.8</v>
      </c>
    </row>
    <row r="17" ht="27" customHeight="true">
      <c r="A17" s="2" t="str">
        <v>SSP3</v>
      </c>
      <c r="B17" s="10" t="n">
        <v>2025</v>
      </c>
      <c r="C17" s="9" t="n">
        <v>2959.4037163173557</v>
      </c>
      <c r="D17" s="9" t="n">
        <v>67.64340404392384</v>
      </c>
      <c r="E17" s="9" t="n">
        <v>32286.501128100812</v>
      </c>
      <c r="F17" s="9" t="n">
        <v>2990.0681511523953</v>
      </c>
      <c r="G17" s="9" t="n">
        <v>13337.890833125017</v>
      </c>
      <c r="H17" s="9" t="n">
        <v>15958.542143823399</v>
      </c>
      <c r="I17" s="9" t="n">
        <v>4816.675595980204</v>
      </c>
      <c r="J17" s="9" t="n">
        <v>382.1655775709287</v>
      </c>
      <c r="K17" s="9" t="n">
        <v>10937.754362969987</v>
      </c>
      <c r="L17" s="9" t="n">
        <v>0.8</v>
      </c>
    </row>
    <row r="18" ht="27" customHeight="true">
      <c r="A18" s="2" t="str">
        <v>SSP3</v>
      </c>
      <c r="B18" s="10" t="n">
        <v>2026</v>
      </c>
      <c r="C18" s="9" t="n">
        <v>2948.0299126617347</v>
      </c>
      <c r="D18" s="9" t="n">
        <v>68.22947929574937</v>
      </c>
      <c r="E18" s="9" t="n">
        <v>33290.59220534931</v>
      </c>
      <c r="F18" s="9" t="n">
        <v>3038.6802414044864</v>
      </c>
      <c r="G18" s="9" t="n">
        <v>13677.17512398094</v>
      </c>
      <c r="H18" s="9" t="n">
        <v>16574.736839963887</v>
      </c>
      <c r="I18" s="9" t="n">
        <v>4824.916967053415</v>
      </c>
      <c r="J18" s="9" t="n">
        <v>379.9487765028435</v>
      </c>
      <c r="K18" s="9" t="n">
        <v>11203.92040964967</v>
      </c>
      <c r="L18" s="9" t="n">
        <v>0.8</v>
      </c>
    </row>
    <row r="19" ht="27" customHeight="true">
      <c r="A19" s="2" t="str">
        <v>SSP3</v>
      </c>
      <c r="B19" s="10" t="n">
        <v>2027</v>
      </c>
      <c r="C19" s="9" t="n">
        <v>2936.381084157051</v>
      </c>
      <c r="D19" s="9" t="n">
        <v>68.79069742100492</v>
      </c>
      <c r="E19" s="9" t="n">
        <v>34266.765521752975</v>
      </c>
      <c r="F19" s="9" t="n">
        <v>3084.470804741727</v>
      </c>
      <c r="G19" s="9" t="n">
        <v>14003.860929538663</v>
      </c>
      <c r="H19" s="9" t="n">
        <v>17178.433787472582</v>
      </c>
      <c r="I19" s="9" t="n">
        <v>4832.800707011177</v>
      </c>
      <c r="J19" s="9" t="n">
        <v>377.7448342772702</v>
      </c>
      <c r="K19" s="9" t="n">
        <v>11463.725653073918</v>
      </c>
      <c r="L19" s="9" t="n">
        <v>0.8</v>
      </c>
    </row>
    <row r="20" ht="27" customHeight="true">
      <c r="A20" s="2" t="str">
        <v>SSP3</v>
      </c>
      <c r="B20" s="10" t="n">
        <v>2028</v>
      </c>
      <c r="C20" s="9" t="n">
        <v>2924.6001625721474</v>
      </c>
      <c r="D20" s="9" t="n">
        <v>69.32786108579974</v>
      </c>
      <c r="E20" s="9" t="n">
        <v>35215.132480665176</v>
      </c>
      <c r="F20" s="9" t="n">
        <v>3127.6054578333747</v>
      </c>
      <c r="G20" s="9" t="n">
        <v>14318.344042781711</v>
      </c>
      <c r="H20" s="9" t="n">
        <v>17769.18298005009</v>
      </c>
      <c r="I20" s="9" t="n">
        <v>4840.341200278632</v>
      </c>
      <c r="J20" s="9" t="n">
        <v>375.5536763048228</v>
      </c>
      <c r="K20" s="9" t="n">
        <v>11716.088136896597</v>
      </c>
      <c r="L20" s="9" t="n">
        <v>0.8</v>
      </c>
    </row>
    <row r="21" ht="27" customHeight="true">
      <c r="A21" s="2" t="str">
        <v>SSP3</v>
      </c>
      <c r="B21" s="10" t="n">
        <v>2029</v>
      </c>
      <c r="C21" s="9" t="n">
        <v>2912.8116173598496</v>
      </c>
      <c r="D21" s="9" t="n">
        <v>69.84180503522315</v>
      </c>
      <c r="E21" s="9" t="n">
        <v>36135.88573909872</v>
      </c>
      <c r="F21" s="9" t="n">
        <v>3168.241708222966</v>
      </c>
      <c r="G21" s="9" t="n">
        <v>14621.028608918867</v>
      </c>
      <c r="H21" s="9" t="n">
        <v>18346.61542195688</v>
      </c>
      <c r="I21" s="9" t="n">
        <v>4847.552353300332</v>
      </c>
      <c r="J21" s="9" t="n">
        <v>373.37522842878053</v>
      </c>
      <c r="K21" s="9" t="n">
        <v>11960.43229598056</v>
      </c>
      <c r="L21" s="9" t="n">
        <v>0.8</v>
      </c>
    </row>
    <row r="22" ht="27" customHeight="true">
      <c r="A22" s="2" t="str">
        <v>SSP3</v>
      </c>
      <c r="B22" s="10" t="n">
        <v>2030</v>
      </c>
      <c r="C22" s="9" t="n">
        <v>2901.1250260628112</v>
      </c>
      <c r="D22" s="9" t="n">
        <v>70.33338805322782</v>
      </c>
      <c r="E22" s="9" t="n">
        <v>37029.28857153644</v>
      </c>
      <c r="F22" s="9" t="n">
        <v>3206.529654594178</v>
      </c>
      <c r="G22" s="9" t="n">
        <v>14912.324431516683</v>
      </c>
      <c r="H22" s="9" t="n">
        <v>18910.434485425576</v>
      </c>
      <c r="I22" s="9" t="n">
        <v>4854.447601215442</v>
      </c>
      <c r="J22" s="9" t="n">
        <v>371.20941692257844</v>
      </c>
      <c r="K22" s="9" t="n">
        <v>12196.515676800944</v>
      </c>
      <c r="L22" s="9" t="n">
        <v>0.8</v>
      </c>
    </row>
    <row r="23" ht="27" customHeight="true">
      <c r="A23" s="2" t="str">
        <v>SSP4</v>
      </c>
      <c r="B23" s="10" t="n">
        <v>2024</v>
      </c>
      <c r="C23" s="9" t="n">
        <v>2970.3384634451863</v>
      </c>
      <c r="D23" s="9" t="n">
        <v>67.03169236583625</v>
      </c>
      <c r="E23" s="9" t="n">
        <v>31221.458755970307</v>
      </c>
      <c r="F23" s="9" t="n">
        <v>2936.7484286563904</v>
      </c>
      <c r="G23" s="9" t="n">
        <v>12974.476473089315</v>
      </c>
      <c r="H23" s="9" t="n">
        <v>15310.233854224603</v>
      </c>
      <c r="I23" s="9" t="n">
        <v>4807.259648697739</v>
      </c>
      <c r="J23" s="9" t="n">
        <v>383.8366621029288</v>
      </c>
      <c r="K23" s="9" t="n">
        <v>10657.999901899919</v>
      </c>
      <c r="L23" s="9" t="n">
        <v>1</v>
      </c>
    </row>
    <row r="24" ht="27" customHeight="true">
      <c r="A24" s="2" t="str">
        <v>SSP4</v>
      </c>
      <c r="B24" s="10" t="n">
        <v>2025</v>
      </c>
      <c r="C24" s="9" t="n">
        <v>2958.1856690484606</v>
      </c>
      <c r="D24" s="9" t="n">
        <v>67.79241072709148</v>
      </c>
      <c r="E24" s="9" t="n">
        <v>32357.245696344304</v>
      </c>
      <c r="F24" s="9" t="n">
        <v>2993.6788841666503</v>
      </c>
      <c r="G24" s="9" t="n">
        <v>13362.823733972476</v>
      </c>
      <c r="H24" s="9" t="n">
        <v>16000.743078205174</v>
      </c>
      <c r="I24" s="9" t="n">
        <v>4815.137587735042</v>
      </c>
      <c r="J24" s="9" t="n">
        <v>381.05556500276555</v>
      </c>
      <c r="K24" s="9" t="n">
        <v>10958.415905674632</v>
      </c>
      <c r="L24" s="9" t="n">
        <v>1</v>
      </c>
    </row>
    <row r="25" ht="27" customHeight="true">
      <c r="A25" s="2" t="str">
        <v>SSP4</v>
      </c>
      <c r="B25" s="10" t="n">
        <v>2026</v>
      </c>
      <c r="C25" s="9" t="n">
        <v>2945.2436158680875</v>
      </c>
      <c r="D25" s="9" t="n">
        <v>68.51311125158304</v>
      </c>
      <c r="E25" s="9" t="n">
        <v>33415.46865509561</v>
      </c>
      <c r="F25" s="9" t="n">
        <v>3044.780562762508</v>
      </c>
      <c r="G25" s="9" t="n">
        <v>13720.137976915441</v>
      </c>
      <c r="H25" s="9" t="n">
        <v>16650.550115417667</v>
      </c>
      <c r="I25" s="9" t="n">
        <v>4822.705404670679</v>
      </c>
      <c r="J25" s="9" t="n">
        <v>378.2946184036987</v>
      </c>
      <c r="K25" s="9" t="n">
        <v>11239.435837856354</v>
      </c>
      <c r="L25" s="9" t="n">
        <v>1</v>
      </c>
    </row>
    <row r="26" ht="27" customHeight="true">
      <c r="A26" s="2" t="str">
        <v>SSP4</v>
      </c>
      <c r="B26" s="10" t="n">
        <v>2027</v>
      </c>
      <c r="C26" s="9" t="n">
        <v>2931.361948564974</v>
      </c>
      <c r="D26" s="9" t="n">
        <v>69.19512882606327</v>
      </c>
      <c r="E26" s="9" t="n">
        <v>34459.13496991008</v>
      </c>
      <c r="F26" s="9" t="n">
        <v>3093.501916796748</v>
      </c>
      <c r="G26" s="9" t="n">
        <v>14068.652466354253</v>
      </c>
      <c r="H26" s="9" t="n">
        <v>17296.980586759077</v>
      </c>
      <c r="I26" s="9" t="n">
        <v>4829.974353134205</v>
      </c>
      <c r="J26" s="9" t="n">
        <v>375.5536763048228</v>
      </c>
      <c r="K26" s="9" t="n">
        <v>11517.178324585864</v>
      </c>
      <c r="L26" s="9" t="n">
        <v>1</v>
      </c>
    </row>
    <row r="27" ht="27" customHeight="true">
      <c r="A27" s="2" t="str">
        <v>SSP4</v>
      </c>
      <c r="B27" s="10" t="n">
        <v>2028</v>
      </c>
      <c r="C27" s="9" t="n">
        <v>2916.6596434095895</v>
      </c>
      <c r="D27" s="9" t="n">
        <v>69.83987219785327</v>
      </c>
      <c r="E27" s="9" t="n">
        <v>35488.891429770985</v>
      </c>
      <c r="F27" s="9" t="n">
        <v>3139.9892784394697</v>
      </c>
      <c r="G27" s="9" t="n">
        <v>14408.789303222518</v>
      </c>
      <c r="H27" s="9" t="n">
        <v>17940.112848108998</v>
      </c>
      <c r="I27" s="9" t="n">
        <v>4836.955355465989</v>
      </c>
      <c r="J27" s="9" t="n">
        <v>372.83259376308547</v>
      </c>
      <c r="K27" s="9" t="n">
        <v>11790.582474086703</v>
      </c>
      <c r="L27" s="9" t="n">
        <v>1</v>
      </c>
    </row>
    <row r="28" ht="27" customHeight="true">
      <c r="A28" s="2" t="str">
        <v>SSP4</v>
      </c>
      <c r="B28" s="10" t="n">
        <v>2029</v>
      </c>
      <c r="C28" s="9" t="n">
        <v>2901.2342414493423</v>
      </c>
      <c r="D28" s="9" t="n">
        <v>70.44879715548753</v>
      </c>
      <c r="E28" s="9" t="n">
        <v>36505.37662087643</v>
      </c>
      <c r="F28" s="9" t="n">
        <v>3184.374905313518</v>
      </c>
      <c r="G28" s="9" t="n">
        <v>14740.94604663864</v>
      </c>
      <c r="H28" s="9" t="n">
        <v>18580.055668924266</v>
      </c>
      <c r="I28" s="9" t="n">
        <v>4843.659006025617</v>
      </c>
      <c r="J28" s="9" t="n">
        <v>370.1312268856223</v>
      </c>
      <c r="K28" s="9" t="n">
        <v>12059.067313921241</v>
      </c>
      <c r="L28" s="9" t="n">
        <v>1</v>
      </c>
    </row>
    <row r="29" ht="27" customHeight="true">
      <c r="A29" s="2" t="str">
        <v>SSP4</v>
      </c>
      <c r="B29" s="10" t="n">
        <v>2030</v>
      </c>
      <c r="C29" s="9" t="n">
        <v>2885.166177145133</v>
      </c>
      <c r="D29" s="9" t="n">
        <v>71.02338812383869</v>
      </c>
      <c r="E29" s="9" t="n">
        <v>37509.217769089926</v>
      </c>
      <c r="F29" s="9" t="n">
        <v>3226.7785979532136</v>
      </c>
      <c r="G29" s="9" t="n">
        <v>15065.496781693506</v>
      </c>
      <c r="H29" s="9" t="n">
        <v>19216.942389443204</v>
      </c>
      <c r="I29" s="9" t="n">
        <v>4850.0955750948315</v>
      </c>
      <c r="J29" s="9" t="n">
        <v>367.44943282214786</v>
      </c>
      <c r="K29" s="9" t="n">
        <v>12322.361028364183</v>
      </c>
      <c r="L29" s="9" t="n">
        <v>1</v>
      </c>
    </row>
    <row r="30" ht="27" customHeight="true">
      <c r="A30" s="2" t="str">
        <v>SSP5</v>
      </c>
      <c r="B30" s="10" t="n">
        <v>2024</v>
      </c>
      <c r="C30" s="9" t="n">
        <v>2970.4983292098786</v>
      </c>
      <c r="D30" s="9" t="n">
        <v>67.0316772526711</v>
      </c>
      <c r="E30" s="9" t="n">
        <v>31302.577848378103</v>
      </c>
      <c r="F30" s="9" t="n">
        <v>2941.3689138355035</v>
      </c>
      <c r="G30" s="9" t="n">
        <v>13004.580112901996</v>
      </c>
      <c r="H30" s="9" t="n">
        <v>15356.628821640605</v>
      </c>
      <c r="I30" s="9" t="n">
        <v>4806.454354861586</v>
      </c>
      <c r="J30" s="9" t="n">
        <v>383.2788235990243</v>
      </c>
      <c r="K30" s="9" t="n">
        <v>10683.037544206034</v>
      </c>
      <c r="L30" s="9" t="n">
        <v>1.2</v>
      </c>
    </row>
    <row r="31" ht="27" customHeight="true">
      <c r="A31" s="2" t="str">
        <v>SSP5</v>
      </c>
      <c r="B31" s="10" t="n">
        <v>2025</v>
      </c>
      <c r="C31" s="9" t="n">
        <v>2958.8360238512882</v>
      </c>
      <c r="D31" s="9" t="n">
        <v>67.93986820196042</v>
      </c>
      <c r="E31" s="9" t="n">
        <v>32535.506476646668</v>
      </c>
      <c r="F31" s="9" t="n">
        <v>3003.8237880207416</v>
      </c>
      <c r="G31" s="9" t="n">
        <v>13428.37218331592</v>
      </c>
      <c r="H31" s="9" t="n">
        <v>16103.310505310004</v>
      </c>
      <c r="I31" s="9" t="n">
        <v>4813.587175674703</v>
      </c>
      <c r="J31" s="9" t="n">
        <v>379.9487765028435</v>
      </c>
      <c r="K31" s="9" t="n">
        <v>11012.821534150107</v>
      </c>
      <c r="L31" s="9" t="n">
        <v>1.2</v>
      </c>
    </row>
    <row r="32" ht="27" customHeight="true">
      <c r="A32" s="2" t="str">
        <v>SSP5</v>
      </c>
      <c r="B32" s="10" t="n">
        <v>2026</v>
      </c>
      <c r="C32" s="9" t="n">
        <v>2946.70446033577</v>
      </c>
      <c r="D32" s="9" t="n">
        <v>68.79071025210598</v>
      </c>
      <c r="E32" s="9" t="n">
        <v>33706.55781861215</v>
      </c>
      <c r="F32" s="9" t="n">
        <v>3061.318808557261</v>
      </c>
      <c r="G32" s="9" t="n">
        <v>13826.281696041746</v>
      </c>
      <c r="H32" s="9" t="n">
        <v>16818.95731401314</v>
      </c>
      <c r="I32" s="9" t="n">
        <v>4820.466946387096</v>
      </c>
      <c r="J32" s="9" t="n">
        <v>376.6476619043119</v>
      </c>
      <c r="K32" s="9" t="n">
        <v>11327.377261222491</v>
      </c>
      <c r="L32" s="9" t="n">
        <v>1.2</v>
      </c>
    </row>
    <row r="33" ht="27" customHeight="true">
      <c r="A33" s="2" t="str">
        <v>SSP5</v>
      </c>
      <c r="B33" s="10" t="n">
        <v>2027</v>
      </c>
      <c r="C33" s="9" t="n">
        <v>2933.9470379018517</v>
      </c>
      <c r="D33" s="9" t="n">
        <v>69.58649288681195</v>
      </c>
      <c r="E33" s="9" t="n">
        <v>34878.86441981219</v>
      </c>
      <c r="F33" s="9" t="n">
        <v>3117.281857222263</v>
      </c>
      <c r="G33" s="9" t="n">
        <v>14220.490972568508</v>
      </c>
      <c r="H33" s="9" t="n">
        <v>17541.091590021424</v>
      </c>
      <c r="I33" s="9" t="n">
        <v>4827.10193155039</v>
      </c>
      <c r="J33" s="9" t="n">
        <v>373.37522842878053</v>
      </c>
      <c r="K33" s="9" t="n">
        <v>11642.784702480307</v>
      </c>
      <c r="L33" s="9" t="n">
        <v>1.2</v>
      </c>
    </row>
    <row r="34" ht="27" customHeight="true">
      <c r="A34" s="2" t="str">
        <v>SSP5</v>
      </c>
      <c r="B34" s="10" t="n">
        <v>2028</v>
      </c>
      <c r="C34" s="9" t="n">
        <v>2920.6716164294935</v>
      </c>
      <c r="D34" s="9" t="n">
        <v>70.32962887343723</v>
      </c>
      <c r="E34" s="9" t="n">
        <v>36053.03225468665</v>
      </c>
      <c r="F34" s="9" t="n">
        <v>3171.8335832229586</v>
      </c>
      <c r="G34" s="9" t="n">
        <v>14611.323807611738</v>
      </c>
      <c r="H34" s="9" t="n">
        <v>18269.874863851957</v>
      </c>
      <c r="I34" s="9" t="n">
        <v>4833.500177775049</v>
      </c>
      <c r="J34" s="9" t="n">
        <v>370.1312268856223</v>
      </c>
      <c r="K34" s="9" t="n">
        <v>11957.906477264474</v>
      </c>
      <c r="L34" s="9" t="n">
        <v>1.2</v>
      </c>
    </row>
    <row r="35" ht="27" customHeight="true">
      <c r="A35" s="2" t="str">
        <v>SSP5</v>
      </c>
      <c r="B35" s="10" t="n">
        <v>2029</v>
      </c>
      <c r="C35" s="9" t="n">
        <v>2906.964264449422</v>
      </c>
      <c r="D35" s="9" t="n">
        <v>71.02260134145203</v>
      </c>
      <c r="E35" s="9" t="n">
        <v>37229.629160721786</v>
      </c>
      <c r="F35" s="9" t="n">
        <v>3225.0808019128</v>
      </c>
      <c r="G35" s="9" t="n">
        <v>14999.074361849543</v>
      </c>
      <c r="H35" s="9" t="n">
        <v>19005.47399695944</v>
      </c>
      <c r="I35" s="9" t="n">
        <v>4839.669515552695</v>
      </c>
      <c r="J35" s="9" t="n">
        <v>366.9154102492569</v>
      </c>
      <c r="K35" s="9" t="n">
        <v>12272.08041548608</v>
      </c>
      <c r="L35" s="9" t="n">
        <v>1.2</v>
      </c>
    </row>
    <row r="36" ht="27" customHeight="true">
      <c r="A36" s="2" t="str">
        <v>SSP5</v>
      </c>
      <c r="B36" s="10" t="n">
        <v>2030</v>
      </c>
      <c r="C36" s="9" t="n">
        <v>2892.894248487585</v>
      </c>
      <c r="D36" s="9" t="n">
        <v>71.66792387623028</v>
      </c>
      <c r="E36" s="9" t="n">
        <v>38409.19807146857</v>
      </c>
      <c r="F36" s="9" t="n">
        <v>3277.119084409482</v>
      </c>
      <c r="G36" s="9" t="n">
        <v>15384.013894164022</v>
      </c>
      <c r="H36" s="9" t="n">
        <v>19748.06509289507</v>
      </c>
      <c r="I36" s="9" t="n">
        <v>4845.617561409647</v>
      </c>
      <c r="J36" s="9" t="n">
        <v>363.72753364033997</v>
      </c>
      <c r="K36" s="9" t="n">
        <v>12584.953004072098</v>
      </c>
      <c r="L36" s="9" t="n">
        <v>1.2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="http://schemas.openxmlformats.org/spreadsheetml/2006/main" xmlns:mc="http://schemas.openxmlformats.org/markup-compatibility/2006" xmlns:x14ac="http://schemas.microsoft.com/office/spreadsheetml/2009/9/ac" mc:Ignorable="x14ac">
  <dimension ref="A1:G127"/>
  <sheetViews>
    <sheetView showGridLines="false" workbookViewId="0">
      <pane ySplit="1" topLeftCell="A2" activePane="bottomLeft" state="frozen"/>
    </sheetView>
  </sheetViews>
  <sheetFormatPr defaultRowHeight="15"/>
  <cols>
    <col min="1" max="1" width="22" hidden="false" customWidth="true"/>
    <col min="2" max="2" width="22" hidden="false" customWidth="true"/>
    <col min="3" max="3" width="22" hidden="false" customWidth="true"/>
    <col min="4" max="4" width="22" hidden="false" customWidth="true"/>
    <col min="5" max="5" width="22" hidden="false" customWidth="true"/>
    <col min="6" max="6" width="22" hidden="false" customWidth="true"/>
    <col min="7" max="7" width="22" hidden="false" customWidth="true"/>
  </cols>
  <sheetData>
    <row r="1" ht="48" customHeight="true">
      <c r="A1" s="8" t="str">
        <v>地区</v>
      </c>
      <c r="B1" s="8" t="str">
        <v>年份</v>
      </c>
      <c r="C1" s="8" t="str">
        <v>SSP1</v>
      </c>
      <c r="D1" s="8" t="str">
        <v>SSP2</v>
      </c>
      <c r="E1" s="8" t="str">
        <v>SSP3</v>
      </c>
      <c r="F1" s="8" t="str">
        <v>SSP4</v>
      </c>
      <c r="G1" s="8" t="str">
        <v>SSP5</v>
      </c>
    </row>
    <row r="2" ht="27" customHeight="true">
      <c r="A2" s="2" t="str">
        <v>徐州</v>
      </c>
      <c r="B2" s="10" t="n">
        <v>2010</v>
      </c>
      <c r="C2" s="9" t="n">
        <v>1551.5853708967475</v>
      </c>
      <c r="D2" s="9" t="n">
        <v>1551.5853708967475</v>
      </c>
      <c r="E2" s="9" t="n">
        <v>1551.5853708967475</v>
      </c>
      <c r="F2" s="9" t="n">
        <v>1551.5853708967475</v>
      </c>
      <c r="G2" s="9" t="n">
        <v>1551.5853708967475</v>
      </c>
    </row>
    <row r="3" ht="27" customHeight="true">
      <c r="A3" s="2" t="str">
        <v>徐州</v>
      </c>
      <c r="B3" s="10" t="n">
        <v>2011</v>
      </c>
      <c r="C3" s="9" t="n">
        <v>1736.83342843214</v>
      </c>
      <c r="D3" s="9" t="n">
        <v>1736.83342843214</v>
      </c>
      <c r="E3" s="9" t="n">
        <v>1736.83342843214</v>
      </c>
      <c r="F3" s="9" t="n">
        <v>1736.83342843214</v>
      </c>
      <c r="G3" s="9" t="n">
        <v>1736.83342843214</v>
      </c>
    </row>
    <row r="4" ht="27" customHeight="true">
      <c r="A4" s="2" t="str">
        <v>徐州</v>
      </c>
      <c r="B4" s="10" t="n">
        <v>2012</v>
      </c>
      <c r="C4" s="9" t="n">
        <v>1921.4540190069747</v>
      </c>
      <c r="D4" s="9" t="n">
        <v>1921.4540190069747</v>
      </c>
      <c r="E4" s="9" t="n">
        <v>1921.4540190069747</v>
      </c>
      <c r="F4" s="9" t="n">
        <v>1921.4540190069747</v>
      </c>
      <c r="G4" s="9" t="n">
        <v>1921.4540190069747</v>
      </c>
    </row>
    <row r="5" ht="27" customHeight="true">
      <c r="A5" s="2" t="str">
        <v>徐州</v>
      </c>
      <c r="B5" s="10" t="n">
        <v>2013</v>
      </c>
      <c r="C5" s="9" t="n">
        <v>2052.43768336696</v>
      </c>
      <c r="D5" s="9" t="n">
        <v>2052.43768336696</v>
      </c>
      <c r="E5" s="9" t="n">
        <v>2052.43768336696</v>
      </c>
      <c r="F5" s="9" t="n">
        <v>2052.43768336696</v>
      </c>
      <c r="G5" s="9" t="n">
        <v>2052.43768336696</v>
      </c>
    </row>
    <row r="6" ht="27" customHeight="true">
      <c r="A6" s="2" t="str">
        <v>徐州</v>
      </c>
      <c r="B6" s="10" t="n">
        <v>2014</v>
      </c>
      <c r="C6" s="9" t="n">
        <v>2143.147059686619</v>
      </c>
      <c r="D6" s="9" t="n">
        <v>2143.147059686619</v>
      </c>
      <c r="E6" s="9" t="n">
        <v>2143.147059686619</v>
      </c>
      <c r="F6" s="9" t="n">
        <v>2143.147059686619</v>
      </c>
      <c r="G6" s="9" t="n">
        <v>2143.147059686619</v>
      </c>
    </row>
    <row r="7" ht="27" customHeight="true">
      <c r="A7" s="2" t="str">
        <v>徐州</v>
      </c>
      <c r="B7" s="10" t="n">
        <v>2015</v>
      </c>
      <c r="C7" s="9" t="n">
        <v>2221.9827602351984</v>
      </c>
      <c r="D7" s="9" t="n">
        <v>2221.9827602351984</v>
      </c>
      <c r="E7" s="9" t="n">
        <v>2221.9827602351984</v>
      </c>
      <c r="F7" s="9" t="n">
        <v>2221.9827602351984</v>
      </c>
      <c r="G7" s="9" t="n">
        <v>2221.9827602351984</v>
      </c>
    </row>
    <row r="8" ht="27" customHeight="true">
      <c r="A8" s="2" t="str">
        <v>徐州</v>
      </c>
      <c r="B8" s="10" t="n">
        <v>2016</v>
      </c>
      <c r="C8" s="9" t="n">
        <v>2369.5574160316423</v>
      </c>
      <c r="D8" s="9" t="n">
        <v>2369.5574160316423</v>
      </c>
      <c r="E8" s="9" t="n">
        <v>2369.5574160316423</v>
      </c>
      <c r="F8" s="9" t="n">
        <v>2369.5574160316423</v>
      </c>
      <c r="G8" s="9" t="n">
        <v>2369.5574160316423</v>
      </c>
    </row>
    <row r="9" ht="27" customHeight="true">
      <c r="A9" s="2" t="str">
        <v>徐州</v>
      </c>
      <c r="B9" s="10" t="n">
        <v>2017</v>
      </c>
      <c r="C9" s="9" t="n">
        <v>2639.151777333126</v>
      </c>
      <c r="D9" s="9" t="n">
        <v>2639.151777333126</v>
      </c>
      <c r="E9" s="9" t="n">
        <v>2639.151777333126</v>
      </c>
      <c r="F9" s="9" t="n">
        <v>2639.151777333126</v>
      </c>
      <c r="G9" s="9" t="n">
        <v>2639.151777333126</v>
      </c>
    </row>
    <row r="10" ht="27" customHeight="true">
      <c r="A10" s="2" t="str">
        <v>徐州</v>
      </c>
      <c r="B10" s="10" t="n">
        <v>2018</v>
      </c>
      <c r="C10" s="9" t="n">
        <v>2468.194747020724</v>
      </c>
      <c r="D10" s="9" t="n">
        <v>2468.194747020724</v>
      </c>
      <c r="E10" s="9" t="n">
        <v>2468.194747020724</v>
      </c>
      <c r="F10" s="9" t="n">
        <v>2468.194747020724</v>
      </c>
      <c r="G10" s="9" t="n">
        <v>2468.194747020724</v>
      </c>
    </row>
    <row r="11" ht="27" customHeight="true">
      <c r="A11" s="2" t="str">
        <v>徐州</v>
      </c>
      <c r="B11" s="10" t="n">
        <v>2019</v>
      </c>
      <c r="C11" s="9" t="n">
        <v>2473.961572545501</v>
      </c>
      <c r="D11" s="9" t="n">
        <v>2473.961572545501</v>
      </c>
      <c r="E11" s="9" t="n">
        <v>2473.961572545501</v>
      </c>
      <c r="F11" s="9" t="n">
        <v>2473.961572545501</v>
      </c>
      <c r="G11" s="9" t="n">
        <v>2473.961572545501</v>
      </c>
    </row>
    <row r="12" ht="27" customHeight="true">
      <c r="A12" s="2" t="str">
        <v>徐州</v>
      </c>
      <c r="B12" s="10" t="n">
        <v>2020</v>
      </c>
      <c r="C12" s="9" t="n">
        <v>2475.3365115105066</v>
      </c>
      <c r="D12" s="9" t="n">
        <v>2475.3365115105066</v>
      </c>
      <c r="E12" s="9" t="n">
        <v>2475.3365115105066</v>
      </c>
      <c r="F12" s="9" t="n">
        <v>2475.3365115105066</v>
      </c>
      <c r="G12" s="9" t="n">
        <v>2475.3365115105066</v>
      </c>
    </row>
    <row r="13" ht="27" customHeight="true">
      <c r="A13" s="2" t="str">
        <v>徐州</v>
      </c>
      <c r="B13" s="10" t="n">
        <v>2021</v>
      </c>
      <c r="C13" s="9" t="n">
        <v>2801.2385710514864</v>
      </c>
      <c r="D13" s="9" t="n">
        <v>2801.2385710514864</v>
      </c>
      <c r="E13" s="9" t="n">
        <v>2801.2385710514864</v>
      </c>
      <c r="F13" s="9" t="n">
        <v>2801.2385710514864</v>
      </c>
      <c r="G13" s="9" t="n">
        <v>2801.2385710514864</v>
      </c>
    </row>
    <row r="14" ht="27" customHeight="true">
      <c r="A14" s="2" t="str">
        <v>徐州</v>
      </c>
      <c r="B14" s="10" t="n">
        <v>2022</v>
      </c>
      <c r="C14" s="9" t="n">
        <v>2952.434550589081</v>
      </c>
      <c r="D14" s="9" t="n">
        <v>2952.434550589081</v>
      </c>
      <c r="E14" s="9" t="n">
        <v>2952.434550589081</v>
      </c>
      <c r="F14" s="9" t="n">
        <v>2952.434550589081</v>
      </c>
      <c r="G14" s="9" t="n">
        <v>2952.434550589081</v>
      </c>
    </row>
    <row r="15" ht="27" customHeight="true">
      <c r="A15" s="2" t="str">
        <v>徐州</v>
      </c>
      <c r="B15" s="10" t="n">
        <v>2023</v>
      </c>
      <c r="C15" s="9" t="n">
        <v>2959.71</v>
      </c>
      <c r="D15" s="9" t="n">
        <v>2959.71</v>
      </c>
      <c r="E15" s="9" t="n">
        <v>2959.71</v>
      </c>
      <c r="F15" s="9" t="n">
        <v>2959.71</v>
      </c>
      <c r="G15" s="9" t="n">
        <v>2959.71</v>
      </c>
    </row>
    <row r="16" ht="27" customHeight="true">
      <c r="A16" s="2" t="str">
        <v>徐州</v>
      </c>
      <c r="B16" s="10" t="n">
        <v>2024</v>
      </c>
      <c r="C16" s="9" t="n">
        <v>3058.055244988268</v>
      </c>
      <c r="D16" s="9" t="n">
        <v>3057.734878448689</v>
      </c>
      <c r="E16" s="9" t="n">
        <v>3057.7605936132236</v>
      </c>
      <c r="F16" s="9" t="n">
        <v>3057.8274383539983</v>
      </c>
      <c r="G16" s="9" t="n">
        <v>3058.8555698265477</v>
      </c>
    </row>
    <row r="17" ht="27" customHeight="true">
      <c r="A17" s="2" t="str">
        <v>徐州</v>
      </c>
      <c r="B17" s="10" t="n">
        <v>2025</v>
      </c>
      <c r="C17" s="9" t="n">
        <v>3159.7583541775707</v>
      </c>
      <c r="D17" s="9" t="n">
        <v>3158.8567377648474</v>
      </c>
      <c r="E17" s="9" t="n">
        <v>3159.18043300445</v>
      </c>
      <c r="F17" s="9" t="n">
        <v>3159.1128544137728</v>
      </c>
      <c r="G17" s="9" t="n">
        <v>3162.1537799643643</v>
      </c>
    </row>
    <row r="18" ht="27" customHeight="true">
      <c r="A18" s="2" t="str">
        <v>徐州</v>
      </c>
      <c r="B18" s="10" t="n">
        <v>2026</v>
      </c>
      <c r="C18" s="9" t="n">
        <v>3255.1707147191883</v>
      </c>
      <c r="D18" s="9" t="n">
        <v>3253.443711469581</v>
      </c>
      <c r="E18" s="9" t="n">
        <v>3254.448394142288</v>
      </c>
      <c r="F18" s="9" t="n">
        <v>3253.9269736376</v>
      </c>
      <c r="G18" s="9" t="n">
        <v>3259.8829943843343</v>
      </c>
    </row>
    <row r="19" ht="27" customHeight="true">
      <c r="A19" s="2" t="str">
        <v>徐州</v>
      </c>
      <c r="B19" s="10" t="n">
        <v>2027</v>
      </c>
      <c r="C19" s="9" t="n">
        <v>3350.1813125736453</v>
      </c>
      <c r="D19" s="9" t="n">
        <v>3347.4030401647856</v>
      </c>
      <c r="E19" s="9" t="n">
        <v>3349.5825934424684</v>
      </c>
      <c r="F19" s="9" t="n">
        <v>3348.167019884915</v>
      </c>
      <c r="G19" s="9" t="n">
        <v>3357.859012023119</v>
      </c>
    </row>
    <row r="20" ht="27" customHeight="true">
      <c r="A20" s="2" t="str">
        <v>徐州</v>
      </c>
      <c r="B20" s="10" t="n">
        <v>2028</v>
      </c>
      <c r="C20" s="9" t="n">
        <v>3444.1896673376027</v>
      </c>
      <c r="D20" s="9" t="n">
        <v>3440.158556816327</v>
      </c>
      <c r="E20" s="9" t="n">
        <v>3444.1209796730764</v>
      </c>
      <c r="F20" s="9" t="n">
        <v>3441.2455239347905</v>
      </c>
      <c r="G20" s="9" t="n">
        <v>3455.4030125882773</v>
      </c>
    </row>
    <row r="21" ht="27" customHeight="true">
      <c r="A21" s="2" t="str">
        <v>徐州</v>
      </c>
      <c r="B21" s="10" t="n">
        <v>2029</v>
      </c>
      <c r="C21" s="9" t="n">
        <v>3536.825868687584</v>
      </c>
      <c r="D21" s="9" t="n">
        <v>3531.3684336986526</v>
      </c>
      <c r="E21" s="9" t="n">
        <v>3537.838631590673</v>
      </c>
      <c r="F21" s="9" t="n">
        <v>3532.8077324330397</v>
      </c>
      <c r="G21" s="9" t="n">
        <v>3552.0625218688756</v>
      </c>
    </row>
    <row r="22" ht="27" customHeight="true">
      <c r="A22" s="2" t="str">
        <v>徐州</v>
      </c>
      <c r="B22" s="10" t="n">
        <v>2030</v>
      </c>
      <c r="C22" s="9" t="n">
        <v>3627.8693448520257</v>
      </c>
      <c r="D22" s="9" t="n">
        <v>3620.842764902604</v>
      </c>
      <c r="E22" s="9" t="n">
        <v>3630.664839467737</v>
      </c>
      <c r="F22" s="9" t="n">
        <v>3622.649382969763</v>
      </c>
      <c r="G22" s="9" t="n">
        <v>3647.531229554326</v>
      </c>
    </row>
    <row r="23" ht="27" customHeight="true">
      <c r="A23" s="2" t="str">
        <v>连云港</v>
      </c>
      <c r="B23" s="10" t="n">
        <v>2010</v>
      </c>
      <c r="C23" s="9" t="n">
        <v>528.1659663474602</v>
      </c>
      <c r="D23" s="9" t="n">
        <v>528.1659663474602</v>
      </c>
      <c r="E23" s="9" t="n">
        <v>528.1659663474602</v>
      </c>
      <c r="F23" s="9" t="n">
        <v>528.1659663474602</v>
      </c>
      <c r="G23" s="9" t="n">
        <v>528.1659663474602</v>
      </c>
    </row>
    <row r="24" ht="27" customHeight="true">
      <c r="A24" s="2" t="str">
        <v>连云港</v>
      </c>
      <c r="B24" s="10" t="n">
        <v>2011</v>
      </c>
      <c r="C24" s="9" t="n">
        <v>595.6783496779291</v>
      </c>
      <c r="D24" s="9" t="n">
        <v>595.6783496779291</v>
      </c>
      <c r="E24" s="9" t="n">
        <v>595.6783496779291</v>
      </c>
      <c r="F24" s="9" t="n">
        <v>595.6783496779291</v>
      </c>
      <c r="G24" s="9" t="n">
        <v>595.6783496779291</v>
      </c>
    </row>
    <row r="25" ht="27" customHeight="true">
      <c r="A25" s="2" t="str">
        <v>连云港</v>
      </c>
      <c r="B25" s="10" t="n">
        <v>2012</v>
      </c>
      <c r="C25" s="9" t="n">
        <v>672.5008363195919</v>
      </c>
      <c r="D25" s="9" t="n">
        <v>672.5008363195919</v>
      </c>
      <c r="E25" s="9" t="n">
        <v>672.5008363195919</v>
      </c>
      <c r="F25" s="9" t="n">
        <v>672.5008363195919</v>
      </c>
      <c r="G25" s="9" t="n">
        <v>672.5008363195919</v>
      </c>
    </row>
    <row r="26" ht="27" customHeight="true">
      <c r="A26" s="2" t="str">
        <v>连云港</v>
      </c>
      <c r="B26" s="10" t="n">
        <v>2013</v>
      </c>
      <c r="C26" s="9" t="n">
        <v>735.4640843329415</v>
      </c>
      <c r="D26" s="9" t="n">
        <v>735.4640843329415</v>
      </c>
      <c r="E26" s="9" t="n">
        <v>735.4640843329415</v>
      </c>
      <c r="F26" s="9" t="n">
        <v>735.4640843329415</v>
      </c>
      <c r="G26" s="9" t="n">
        <v>735.4640843329415</v>
      </c>
    </row>
    <row r="27" ht="27" customHeight="true">
      <c r="A27" s="2" t="str">
        <v>连云港</v>
      </c>
      <c r="B27" s="10" t="n">
        <v>2014</v>
      </c>
      <c r="C27" s="9" t="n">
        <v>804.2518580569485</v>
      </c>
      <c r="D27" s="9" t="n">
        <v>804.2518580569485</v>
      </c>
      <c r="E27" s="9" t="n">
        <v>804.2518580569485</v>
      </c>
      <c r="F27" s="9" t="n">
        <v>804.2518580569485</v>
      </c>
      <c r="G27" s="9" t="n">
        <v>804.2518580569485</v>
      </c>
    </row>
    <row r="28" ht="27" customHeight="true">
      <c r="A28" s="2" t="str">
        <v>连云港</v>
      </c>
      <c r="B28" s="10" t="n">
        <v>2015</v>
      </c>
      <c r="C28" s="9" t="n">
        <v>862.5349531995632</v>
      </c>
      <c r="D28" s="9" t="n">
        <v>862.5349531995632</v>
      </c>
      <c r="E28" s="9" t="n">
        <v>862.5349531995632</v>
      </c>
      <c r="F28" s="9" t="n">
        <v>862.5349531995632</v>
      </c>
      <c r="G28" s="9" t="n">
        <v>862.5349531995632</v>
      </c>
    </row>
    <row r="29" ht="27" customHeight="true">
      <c r="A29" s="2" t="str">
        <v>连云港</v>
      </c>
      <c r="B29" s="10" t="n">
        <v>2016</v>
      </c>
      <c r="C29" s="9" t="n">
        <v>950.9353702211807</v>
      </c>
      <c r="D29" s="9" t="n">
        <v>950.9353702211807</v>
      </c>
      <c r="E29" s="9" t="n">
        <v>950.9353702211807</v>
      </c>
      <c r="F29" s="9" t="n">
        <v>950.9353702211807</v>
      </c>
      <c r="G29" s="9" t="n">
        <v>950.9353702211807</v>
      </c>
    </row>
    <row r="30" ht="27" customHeight="true">
      <c r="A30" s="2" t="str">
        <v>连云港</v>
      </c>
      <c r="B30" s="10" t="n">
        <v>2017</v>
      </c>
      <c r="C30" s="9" t="n">
        <v>1033.3911800525732</v>
      </c>
      <c r="D30" s="9" t="n">
        <v>1033.3911800525732</v>
      </c>
      <c r="E30" s="9" t="n">
        <v>1033.3911800525732</v>
      </c>
      <c r="F30" s="9" t="n">
        <v>1033.3911800525732</v>
      </c>
      <c r="G30" s="9" t="n">
        <v>1033.3911800525732</v>
      </c>
    </row>
    <row r="31" ht="27" customHeight="true">
      <c r="A31" s="2" t="str">
        <v>连云港</v>
      </c>
      <c r="B31" s="10" t="n">
        <v>2018</v>
      </c>
      <c r="C31" s="9" t="n">
        <v>1019.2994295038444</v>
      </c>
      <c r="D31" s="9" t="n">
        <v>1019.2994295038444</v>
      </c>
      <c r="E31" s="9" t="n">
        <v>1019.2994295038444</v>
      </c>
      <c r="F31" s="9" t="n">
        <v>1019.2994295038444</v>
      </c>
      <c r="G31" s="9" t="n">
        <v>1019.2994295038444</v>
      </c>
    </row>
    <row r="32" ht="27" customHeight="true">
      <c r="A32" s="2" t="str">
        <v>连云港</v>
      </c>
      <c r="B32" s="10" t="n">
        <v>2019</v>
      </c>
      <c r="C32" s="9" t="n">
        <v>1165.384077124884</v>
      </c>
      <c r="D32" s="9" t="n">
        <v>1165.384077124884</v>
      </c>
      <c r="E32" s="9" t="n">
        <v>1165.384077124884</v>
      </c>
      <c r="F32" s="9" t="n">
        <v>1165.384077124884</v>
      </c>
      <c r="G32" s="9" t="n">
        <v>1165.384077124884</v>
      </c>
    </row>
    <row r="33" ht="27" customHeight="true">
      <c r="A33" s="2" t="str">
        <v>连云港</v>
      </c>
      <c r="B33" s="10" t="n">
        <v>2020</v>
      </c>
      <c r="C33" s="9" t="n">
        <v>1168.583012304803</v>
      </c>
      <c r="D33" s="9" t="n">
        <v>1168.583012304803</v>
      </c>
      <c r="E33" s="9" t="n">
        <v>1168.583012304803</v>
      </c>
      <c r="F33" s="9" t="n">
        <v>1168.583012304803</v>
      </c>
      <c r="G33" s="9" t="n">
        <v>1168.583012304803</v>
      </c>
    </row>
    <row r="34" ht="27" customHeight="true">
      <c r="A34" s="2" t="str">
        <v>连云港</v>
      </c>
      <c r="B34" s="10" t="n">
        <v>2021</v>
      </c>
      <c r="C34" s="9" t="n">
        <v>1322.70815864926</v>
      </c>
      <c r="D34" s="9" t="n">
        <v>1322.70815864926</v>
      </c>
      <c r="E34" s="9" t="n">
        <v>1322.70815864926</v>
      </c>
      <c r="F34" s="9" t="n">
        <v>1322.70815864926</v>
      </c>
      <c r="G34" s="9" t="n">
        <v>1322.70815864926</v>
      </c>
    </row>
    <row r="35" ht="27" customHeight="true">
      <c r="A35" s="2" t="str">
        <v>连云港</v>
      </c>
      <c r="B35" s="10" t="n">
        <v>2022</v>
      </c>
      <c r="C35" s="9" t="n">
        <v>1485.434109947151</v>
      </c>
      <c r="D35" s="9" t="n">
        <v>1485.434109947151</v>
      </c>
      <c r="E35" s="9" t="n">
        <v>1485.434109947151</v>
      </c>
      <c r="F35" s="9" t="n">
        <v>1485.434109947151</v>
      </c>
      <c r="G35" s="9" t="n">
        <v>1485.434109947151</v>
      </c>
    </row>
    <row r="36" ht="27" customHeight="true">
      <c r="A36" s="2" t="str">
        <v>连云港</v>
      </c>
      <c r="B36" s="10" t="n">
        <v>2023</v>
      </c>
      <c r="C36" s="9" t="n">
        <v>1714.01</v>
      </c>
      <c r="D36" s="9" t="n">
        <v>1714.01</v>
      </c>
      <c r="E36" s="9" t="n">
        <v>1714.01</v>
      </c>
      <c r="F36" s="9" t="n">
        <v>1714.01</v>
      </c>
      <c r="G36" s="9" t="n">
        <v>1714.01</v>
      </c>
    </row>
    <row r="37" ht="27" customHeight="true">
      <c r="A37" s="2" t="str">
        <v>连云港</v>
      </c>
      <c r="B37" s="10" t="n">
        <v>2024</v>
      </c>
      <c r="C37" s="9" t="n">
        <v>1761.1280317194928</v>
      </c>
      <c r="D37" s="9" t="n">
        <v>1757.8652842761405</v>
      </c>
      <c r="E37" s="9" t="n">
        <v>1756.6882030135625</v>
      </c>
      <c r="F37" s="9" t="n">
        <v>1758.584326815599</v>
      </c>
      <c r="G37" s="9" t="n">
        <v>1764.1621678810202</v>
      </c>
    </row>
    <row r="38" ht="27" customHeight="true">
      <c r="A38" s="2" t="str">
        <v>连云港</v>
      </c>
      <c r="B38" s="10" t="n">
        <v>2025</v>
      </c>
      <c r="C38" s="9" t="n">
        <v>1805.6365801538302</v>
      </c>
      <c r="D38" s="9" t="n">
        <v>1799.0141056152086</v>
      </c>
      <c r="E38" s="9" t="n">
        <v>1796.390353536799</v>
      </c>
      <c r="F38" s="9" t="n">
        <v>1800.5307763899823</v>
      </c>
      <c r="G38" s="9" t="n">
        <v>1812.2990975583248</v>
      </c>
    </row>
    <row r="39" ht="27" customHeight="true">
      <c r="A39" s="2" t="str">
        <v>连云港</v>
      </c>
      <c r="B39" s="10" t="n">
        <v>2026</v>
      </c>
      <c r="C39" s="9" t="n">
        <v>1845.062581627729</v>
      </c>
      <c r="D39" s="9" t="n">
        <v>1835.0316831537518</v>
      </c>
      <c r="E39" s="9" t="n">
        <v>1830.7117656070468</v>
      </c>
      <c r="F39" s="9" t="n">
        <v>1837.4114089085115</v>
      </c>
      <c r="G39" s="9" t="n">
        <v>1855.9055587014052</v>
      </c>
    </row>
    <row r="40" ht="27" customHeight="true">
      <c r="A40" s="2" t="str">
        <v>连云港</v>
      </c>
      <c r="B40" s="10" t="n">
        <v>2027</v>
      </c>
      <c r="C40" s="9" t="n">
        <v>1882.9828841445412</v>
      </c>
      <c r="D40" s="9" t="n">
        <v>1869.5171782431275</v>
      </c>
      <c r="E40" s="9" t="n">
        <v>1863.264563827909</v>
      </c>
      <c r="F40" s="9" t="n">
        <v>1872.8166289204598</v>
      </c>
      <c r="G40" s="9" t="n">
        <v>1898.5370212966814</v>
      </c>
    </row>
    <row r="41" ht="27" customHeight="true">
      <c r="A41" s="2" t="str">
        <v>连云港</v>
      </c>
      <c r="B41" s="10" t="n">
        <v>2028</v>
      </c>
      <c r="C41" s="9" t="n">
        <v>1919.7698685509079</v>
      </c>
      <c r="D41" s="9" t="n">
        <v>1902.8668110263868</v>
      </c>
      <c r="E41" s="9" t="n">
        <v>1894.4596956608243</v>
      </c>
      <c r="F41" s="9" t="n">
        <v>1907.1333465798402</v>
      </c>
      <c r="G41" s="9" t="n">
        <v>1940.543067574068</v>
      </c>
    </row>
    <row r="42" ht="27" customHeight="true">
      <c r="A42" s="2" t="str">
        <v>连云港</v>
      </c>
      <c r="B42" s="10" t="n">
        <v>2029</v>
      </c>
      <c r="C42" s="9" t="n">
        <v>1955.6661750288772</v>
      </c>
      <c r="D42" s="9" t="n">
        <v>1935.3445559336276</v>
      </c>
      <c r="E42" s="9" t="n">
        <v>1924.5759490342728</v>
      </c>
      <c r="F42" s="9" t="n">
        <v>1940.6163547353567</v>
      </c>
      <c r="G42" s="9" t="n">
        <v>1982.1455362823085</v>
      </c>
    </row>
    <row r="43" ht="27" customHeight="true">
      <c r="A43" s="2" t="str">
        <v>连云港</v>
      </c>
      <c r="B43" s="10" t="n">
        <v>2030</v>
      </c>
      <c r="C43" s="9" t="n">
        <v>1990.8346397965859</v>
      </c>
      <c r="D43" s="9" t="n">
        <v>1967.1324425912362</v>
      </c>
      <c r="E43" s="9" t="n">
        <v>1953.8099644256208</v>
      </c>
      <c r="F43" s="9" t="n">
        <v>1973.4385420011738</v>
      </c>
      <c r="G43" s="9" t="n">
        <v>2023.488084160706</v>
      </c>
    </row>
    <row r="44" ht="27" customHeight="true">
      <c r="A44" s="2" t="str">
        <v>淮安</v>
      </c>
      <c r="B44" s="10" t="n">
        <v>2010</v>
      </c>
      <c r="C44" s="9" t="n">
        <v>656.782891646411</v>
      </c>
      <c r="D44" s="9" t="n">
        <v>656.782891646411</v>
      </c>
      <c r="E44" s="9" t="n">
        <v>656.782891646411</v>
      </c>
      <c r="F44" s="9" t="n">
        <v>656.782891646411</v>
      </c>
      <c r="G44" s="9" t="n">
        <v>656.782891646411</v>
      </c>
    </row>
    <row r="45" ht="27" customHeight="true">
      <c r="A45" s="2" t="str">
        <v>淮安</v>
      </c>
      <c r="B45" s="10" t="n">
        <v>2011</v>
      </c>
      <c r="C45" s="9" t="n">
        <v>760.5591535467204</v>
      </c>
      <c r="D45" s="9" t="n">
        <v>760.5591535467204</v>
      </c>
      <c r="E45" s="9" t="n">
        <v>760.5591535467204</v>
      </c>
      <c r="F45" s="9" t="n">
        <v>760.5591535467204</v>
      </c>
      <c r="G45" s="9" t="n">
        <v>760.5591535467204</v>
      </c>
    </row>
    <row r="46" ht="27" customHeight="true">
      <c r="A46" s="2" t="str">
        <v>淮安</v>
      </c>
      <c r="B46" s="10" t="n">
        <v>2012</v>
      </c>
      <c r="C46" s="9" t="n">
        <v>849.9213394846707</v>
      </c>
      <c r="D46" s="9" t="n">
        <v>849.9213394846707</v>
      </c>
      <c r="E46" s="9" t="n">
        <v>849.9213394846707</v>
      </c>
      <c r="F46" s="9" t="n">
        <v>849.9213394846707</v>
      </c>
      <c r="G46" s="9" t="n">
        <v>849.9213394846707</v>
      </c>
    </row>
    <row r="47" ht="27" customHeight="true">
      <c r="A47" s="2" t="str">
        <v>淮安</v>
      </c>
      <c r="B47" s="10" t="n">
        <v>2013</v>
      </c>
      <c r="C47" s="9" t="n">
        <v>937.9407215511521</v>
      </c>
      <c r="D47" s="9" t="n">
        <v>937.9407215511521</v>
      </c>
      <c r="E47" s="9" t="n">
        <v>937.9407215511521</v>
      </c>
      <c r="F47" s="9" t="n">
        <v>937.9407215511521</v>
      </c>
      <c r="G47" s="9" t="n">
        <v>937.9407215511521</v>
      </c>
    </row>
    <row r="48" ht="27" customHeight="true">
      <c r="A48" s="2" t="str">
        <v>淮安</v>
      </c>
      <c r="B48" s="10" t="n">
        <v>2014</v>
      </c>
      <c r="C48" s="9" t="n">
        <v>1027.7594441244946</v>
      </c>
      <c r="D48" s="9" t="n">
        <v>1027.7594441244946</v>
      </c>
      <c r="E48" s="9" t="n">
        <v>1027.7594441244946</v>
      </c>
      <c r="F48" s="9" t="n">
        <v>1027.7594441244946</v>
      </c>
      <c r="G48" s="9" t="n">
        <v>1027.7594441244946</v>
      </c>
    </row>
    <row r="49" ht="27" customHeight="true">
      <c r="A49" s="2" t="str">
        <v>淮安</v>
      </c>
      <c r="B49" s="10" t="n">
        <v>2015</v>
      </c>
      <c r="C49" s="9" t="n">
        <v>1108.040457688534</v>
      </c>
      <c r="D49" s="9" t="n">
        <v>1108.040457688534</v>
      </c>
      <c r="E49" s="9" t="n">
        <v>1108.040457688534</v>
      </c>
      <c r="F49" s="9" t="n">
        <v>1108.040457688534</v>
      </c>
      <c r="G49" s="9" t="n">
        <v>1108.040457688534</v>
      </c>
    </row>
    <row r="50" ht="27" customHeight="true">
      <c r="A50" s="2" t="str">
        <v>淮安</v>
      </c>
      <c r="B50" s="10" t="n">
        <v>2016</v>
      </c>
      <c r="C50" s="9" t="n">
        <v>1196.7237298060663</v>
      </c>
      <c r="D50" s="9" t="n">
        <v>1196.7237298060663</v>
      </c>
      <c r="E50" s="9" t="n">
        <v>1196.7237298060663</v>
      </c>
      <c r="F50" s="9" t="n">
        <v>1196.7237298060663</v>
      </c>
      <c r="G50" s="9" t="n">
        <v>1196.7237298060663</v>
      </c>
    </row>
    <row r="51" ht="27" customHeight="true">
      <c r="A51" s="2" t="str">
        <v>淮安</v>
      </c>
      <c r="B51" s="10" t="n">
        <v>2017</v>
      </c>
      <c r="C51" s="9" t="n">
        <v>1280.1368922840682</v>
      </c>
      <c r="D51" s="9" t="n">
        <v>1280.1368922840682</v>
      </c>
      <c r="E51" s="9" t="n">
        <v>1280.1368922840682</v>
      </c>
      <c r="F51" s="9" t="n">
        <v>1280.1368922840682</v>
      </c>
      <c r="G51" s="9" t="n">
        <v>1280.1368922840682</v>
      </c>
    </row>
    <row r="52" ht="27" customHeight="true">
      <c r="A52" s="2" t="str">
        <v>淮安</v>
      </c>
      <c r="B52" s="10" t="n">
        <v>2018</v>
      </c>
      <c r="C52" s="9" t="n">
        <v>1343.6792945252314</v>
      </c>
      <c r="D52" s="9" t="n">
        <v>1343.6792945252314</v>
      </c>
      <c r="E52" s="9" t="n">
        <v>1343.6792945252314</v>
      </c>
      <c r="F52" s="9" t="n">
        <v>1343.6792945252314</v>
      </c>
      <c r="G52" s="9" t="n">
        <v>1343.6792945252314</v>
      </c>
    </row>
    <row r="53" ht="27" customHeight="true">
      <c r="A53" s="2" t="str">
        <v>淮安</v>
      </c>
      <c r="B53" s="10" t="n">
        <v>2019</v>
      </c>
      <c r="C53" s="9" t="n">
        <v>1375.4244154824116</v>
      </c>
      <c r="D53" s="9" t="n">
        <v>1375.4244154824116</v>
      </c>
      <c r="E53" s="9" t="n">
        <v>1375.4244154824116</v>
      </c>
      <c r="F53" s="9" t="n">
        <v>1375.4244154824116</v>
      </c>
      <c r="G53" s="9" t="n">
        <v>1375.4244154824116</v>
      </c>
    </row>
    <row r="54" ht="27" customHeight="true">
      <c r="A54" s="2" t="str">
        <v>淮安</v>
      </c>
      <c r="B54" s="10" t="n">
        <v>2020</v>
      </c>
      <c r="C54" s="9" t="n">
        <v>1357.6284295536066</v>
      </c>
      <c r="D54" s="9" t="n">
        <v>1357.6284295536066</v>
      </c>
      <c r="E54" s="9" t="n">
        <v>1357.6284295536066</v>
      </c>
      <c r="F54" s="9" t="n">
        <v>1357.6284295536066</v>
      </c>
      <c r="G54" s="9" t="n">
        <v>1357.6284295536066</v>
      </c>
    </row>
    <row r="55" ht="27" customHeight="true">
      <c r="A55" s="2" t="str">
        <v>淮安</v>
      </c>
      <c r="B55" s="10" t="n">
        <v>2021</v>
      </c>
      <c r="C55" s="9" t="n">
        <v>1549.7502181663679</v>
      </c>
      <c r="D55" s="9" t="n">
        <v>1549.7502181663679</v>
      </c>
      <c r="E55" s="9" t="n">
        <v>1549.7502181663679</v>
      </c>
      <c r="F55" s="9" t="n">
        <v>1549.7502181663679</v>
      </c>
      <c r="G55" s="9" t="n">
        <v>1549.7502181663679</v>
      </c>
    </row>
    <row r="56" ht="27" customHeight="true">
      <c r="A56" s="2" t="str">
        <v>淮安</v>
      </c>
      <c r="B56" s="10" t="n">
        <v>2022</v>
      </c>
      <c r="C56" s="9" t="n">
        <v>1623.6121803449291</v>
      </c>
      <c r="D56" s="9" t="n">
        <v>1623.6121803449291</v>
      </c>
      <c r="E56" s="9" t="n">
        <v>1623.6121803449291</v>
      </c>
      <c r="F56" s="9" t="n">
        <v>1623.6121803449291</v>
      </c>
      <c r="G56" s="9" t="n">
        <v>1623.6121803449291</v>
      </c>
    </row>
    <row r="57" ht="27" customHeight="true">
      <c r="A57" s="2" t="str">
        <v>淮安</v>
      </c>
      <c r="B57" s="10" t="n">
        <v>2023</v>
      </c>
      <c r="C57" s="9" t="n">
        <v>1620.02</v>
      </c>
      <c r="D57" s="9" t="n">
        <v>1620.02</v>
      </c>
      <c r="E57" s="9" t="n">
        <v>1620.02</v>
      </c>
      <c r="F57" s="9" t="n">
        <v>1620.02</v>
      </c>
      <c r="G57" s="9" t="n">
        <v>1620.02</v>
      </c>
    </row>
    <row r="58" ht="27" customHeight="true">
      <c r="A58" s="2" t="str">
        <v>淮安</v>
      </c>
      <c r="B58" s="10" t="n">
        <v>2024</v>
      </c>
      <c r="C58" s="9" t="n">
        <v>1656.1007459350642</v>
      </c>
      <c r="D58" s="9" t="n">
        <v>1655.8677527780656</v>
      </c>
      <c r="E58" s="9" t="n">
        <v>1655.5169095782521</v>
      </c>
      <c r="F58" s="9" t="n">
        <v>1655.9449654778368</v>
      </c>
      <c r="G58" s="9" t="n">
        <v>1656.8296142620543</v>
      </c>
    </row>
    <row r="59" ht="27" customHeight="true">
      <c r="A59" s="2" t="str">
        <v>淮安</v>
      </c>
      <c r="B59" s="10" t="n">
        <v>2025</v>
      </c>
      <c r="C59" s="9" t="n">
        <v>1693.9192123988762</v>
      </c>
      <c r="D59" s="9" t="n">
        <v>1693.2471305263834</v>
      </c>
      <c r="E59" s="9" t="n">
        <v>1691.9190295671629</v>
      </c>
      <c r="F59" s="9" t="n">
        <v>1693.4714320288006</v>
      </c>
      <c r="G59" s="9" t="n">
        <v>1696.2683235080551</v>
      </c>
    </row>
    <row r="60" ht="27" customHeight="true">
      <c r="A60" s="2" t="str">
        <v>淮安</v>
      </c>
      <c r="B60" s="10" t="n">
        <v>2026</v>
      </c>
      <c r="C60" s="9" t="n">
        <v>1730.167077325977</v>
      </c>
      <c r="D60" s="9" t="n">
        <v>1728.86445062759</v>
      </c>
      <c r="E60" s="9" t="n">
        <v>1725.8844862763012</v>
      </c>
      <c r="F60" s="9" t="n">
        <v>1729.301705994959</v>
      </c>
      <c r="G60" s="9" t="n">
        <v>1735.0216446345398</v>
      </c>
    </row>
    <row r="61" ht="27" customHeight="true">
      <c r="A61" s="2" t="str">
        <v>淮安</v>
      </c>
      <c r="B61" s="10" t="n">
        <v>2027</v>
      </c>
      <c r="C61" s="9" t="n">
        <v>1766.342578716524</v>
      </c>
      <c r="D61" s="9" t="n">
        <v>1764.233347057755</v>
      </c>
      <c r="E61" s="9" t="n">
        <v>1758.883292112106</v>
      </c>
      <c r="F61" s="9" t="n">
        <v>1764.9441117996832</v>
      </c>
      <c r="G61" s="9" t="n">
        <v>1774.5832618188945</v>
      </c>
    </row>
    <row r="62" ht="27" customHeight="true">
      <c r="A62" s="2" t="str">
        <v>淮安</v>
      </c>
      <c r="B62" s="10" t="n">
        <v>2028</v>
      </c>
      <c r="C62" s="9" t="n">
        <v>1802.1103151656087</v>
      </c>
      <c r="D62" s="9" t="n">
        <v>1799.0361816274665</v>
      </c>
      <c r="E62" s="9" t="n">
        <v>1790.5588757319817</v>
      </c>
      <c r="F62" s="9" t="n">
        <v>1800.0750918453662</v>
      </c>
      <c r="G62" s="9" t="n">
        <v>1814.6125647201925</v>
      </c>
    </row>
    <row r="63" ht="27" customHeight="true">
      <c r="A63" s="2" t="str">
        <v>淮安</v>
      </c>
      <c r="B63" s="10" t="n">
        <v>2029</v>
      </c>
      <c r="C63" s="9" t="n">
        <v>1837.2766511696689</v>
      </c>
      <c r="D63" s="9" t="n">
        <v>1833.0983909932038</v>
      </c>
      <c r="E63" s="9" t="n">
        <v>1820.7025924020622</v>
      </c>
      <c r="F63" s="9" t="n">
        <v>1834.5134211296217</v>
      </c>
      <c r="G63" s="9" t="n">
        <v>1854.9103031091674</v>
      </c>
    </row>
    <row r="64" ht="27" customHeight="true">
      <c r="A64" s="2" t="str">
        <v>淮安</v>
      </c>
      <c r="B64" s="10" t="n">
        <v>2030</v>
      </c>
      <c r="C64" s="9" t="n">
        <v>1871.7371871268374</v>
      </c>
      <c r="D64" s="9" t="n">
        <v>1866.3352012259793</v>
      </c>
      <c r="E64" s="9" t="n">
        <v>1849.1998629505872</v>
      </c>
      <c r="F64" s="9" t="n">
        <v>1868.1670527113795</v>
      </c>
      <c r="G64" s="9" t="n">
        <v>1895.3664677822776</v>
      </c>
    </row>
    <row r="65" ht="27" customHeight="true">
      <c r="A65" s="2" t="str">
        <v>盐城</v>
      </c>
      <c r="B65" s="10" t="n">
        <v>2010</v>
      </c>
      <c r="C65" s="9" t="n">
        <v>1144.1842885738063</v>
      </c>
      <c r="D65" s="9" t="n">
        <v>1144.1842885738063</v>
      </c>
      <c r="E65" s="9" t="n">
        <v>1144.1842885738063</v>
      </c>
      <c r="F65" s="9" t="n">
        <v>1144.1842885738063</v>
      </c>
      <c r="G65" s="9" t="n">
        <v>1144.1842885738063</v>
      </c>
    </row>
    <row r="66" ht="27" customHeight="true">
      <c r="A66" s="2" t="str">
        <v>盐城</v>
      </c>
      <c r="B66" s="10" t="n">
        <v>2011</v>
      </c>
      <c r="C66" s="9" t="n">
        <v>1278.622852858171</v>
      </c>
      <c r="D66" s="9" t="n">
        <v>1278.622852858171</v>
      </c>
      <c r="E66" s="9" t="n">
        <v>1278.622852858171</v>
      </c>
      <c r="F66" s="9" t="n">
        <v>1278.622852858171</v>
      </c>
      <c r="G66" s="9" t="n">
        <v>1278.622852858171</v>
      </c>
    </row>
    <row r="67" ht="27" customHeight="true">
      <c r="A67" s="2" t="str">
        <v>盐城</v>
      </c>
      <c r="B67" s="10" t="n">
        <v>2012</v>
      </c>
      <c r="C67" s="9" t="n">
        <v>1450.6077424937635</v>
      </c>
      <c r="D67" s="9" t="n">
        <v>1450.6077424937635</v>
      </c>
      <c r="E67" s="9" t="n">
        <v>1450.6077424937635</v>
      </c>
      <c r="F67" s="9" t="n">
        <v>1450.6077424937635</v>
      </c>
      <c r="G67" s="9" t="n">
        <v>1450.6077424937635</v>
      </c>
    </row>
    <row r="68" ht="27" customHeight="true">
      <c r="A68" s="2" t="str">
        <v>盐城</v>
      </c>
      <c r="B68" s="10" t="n">
        <v>2013</v>
      </c>
      <c r="C68" s="9" t="n">
        <v>1607.8885707586624</v>
      </c>
      <c r="D68" s="9" t="n">
        <v>1607.8885707586624</v>
      </c>
      <c r="E68" s="9" t="n">
        <v>1607.8885707586624</v>
      </c>
      <c r="F68" s="9" t="n">
        <v>1607.8885707586624</v>
      </c>
      <c r="G68" s="9" t="n">
        <v>1607.8885707586624</v>
      </c>
    </row>
    <row r="69" ht="27" customHeight="true">
      <c r="A69" s="2" t="str">
        <v>盐城</v>
      </c>
      <c r="B69" s="10" t="n">
        <v>2014</v>
      </c>
      <c r="C69" s="9" t="n">
        <v>1734.6327616290316</v>
      </c>
      <c r="D69" s="9" t="n">
        <v>1734.6327616290316</v>
      </c>
      <c r="E69" s="9" t="n">
        <v>1734.6327616290316</v>
      </c>
      <c r="F69" s="9" t="n">
        <v>1734.6327616290316</v>
      </c>
      <c r="G69" s="9" t="n">
        <v>1734.6327616290316</v>
      </c>
    </row>
    <row r="70" ht="27" customHeight="true">
      <c r="A70" s="2" t="str">
        <v>盐城</v>
      </c>
      <c r="B70" s="10" t="n">
        <v>2015</v>
      </c>
      <c r="C70" s="9" t="n">
        <v>1859.2497544498779</v>
      </c>
      <c r="D70" s="9" t="n">
        <v>1859.2497544498779</v>
      </c>
      <c r="E70" s="9" t="n">
        <v>1859.2497544498779</v>
      </c>
      <c r="F70" s="9" t="n">
        <v>1859.2497544498779</v>
      </c>
      <c r="G70" s="9" t="n">
        <v>1859.2497544498779</v>
      </c>
    </row>
    <row r="71" ht="27" customHeight="true">
      <c r="A71" s="2" t="str">
        <v>盐城</v>
      </c>
      <c r="B71" s="10" t="n">
        <v>2016</v>
      </c>
      <c r="C71" s="9" t="n">
        <v>1977.8276827422007</v>
      </c>
      <c r="D71" s="9" t="n">
        <v>1977.8276827422007</v>
      </c>
      <c r="E71" s="9" t="n">
        <v>1977.8276827422007</v>
      </c>
      <c r="F71" s="9" t="n">
        <v>1977.8276827422007</v>
      </c>
      <c r="G71" s="9" t="n">
        <v>1977.8276827422007</v>
      </c>
    </row>
    <row r="72" ht="27" customHeight="true">
      <c r="A72" s="2" t="str">
        <v>盐城</v>
      </c>
      <c r="B72" s="10" t="n">
        <v>2017</v>
      </c>
      <c r="C72" s="9" t="n">
        <v>2095.446646392164</v>
      </c>
      <c r="D72" s="9" t="n">
        <v>2095.446646392164</v>
      </c>
      <c r="E72" s="9" t="n">
        <v>2095.446646392164</v>
      </c>
      <c r="F72" s="9" t="n">
        <v>2095.446646392164</v>
      </c>
      <c r="G72" s="9" t="n">
        <v>2095.446646392164</v>
      </c>
    </row>
    <row r="73" ht="27" customHeight="true">
      <c r="A73" s="2" t="str">
        <v>盐城</v>
      </c>
      <c r="B73" s="10" t="n">
        <v>2018</v>
      </c>
      <c r="C73" s="9" t="n">
        <v>2214.792515396262</v>
      </c>
      <c r="D73" s="9" t="n">
        <v>2214.792515396262</v>
      </c>
      <c r="E73" s="9" t="n">
        <v>2214.792515396262</v>
      </c>
      <c r="F73" s="9" t="n">
        <v>2214.792515396262</v>
      </c>
      <c r="G73" s="9" t="n">
        <v>2214.792515396262</v>
      </c>
    </row>
    <row r="74" ht="27" customHeight="true">
      <c r="A74" s="2" t="str">
        <v>盐城</v>
      </c>
      <c r="B74" s="10" t="n">
        <v>2019</v>
      </c>
      <c r="C74" s="9" t="n">
        <v>2059.9135520580685</v>
      </c>
      <c r="D74" s="9" t="n">
        <v>2059.9135520580685</v>
      </c>
      <c r="E74" s="9" t="n">
        <v>2059.9135520580685</v>
      </c>
      <c r="F74" s="9" t="n">
        <v>2059.9135520580685</v>
      </c>
      <c r="G74" s="9" t="n">
        <v>2059.9135520580685</v>
      </c>
    </row>
    <row r="75" ht="27" customHeight="true">
      <c r="A75" s="2" t="str">
        <v>盐城</v>
      </c>
      <c r="B75" s="10" t="n">
        <v>2020</v>
      </c>
      <c r="C75" s="9" t="n">
        <v>2030.4815626948716</v>
      </c>
      <c r="D75" s="9" t="n">
        <v>2030.4815626948716</v>
      </c>
      <c r="E75" s="9" t="n">
        <v>2030.4815626948716</v>
      </c>
      <c r="F75" s="9" t="n">
        <v>2030.4815626948716</v>
      </c>
      <c r="G75" s="9" t="n">
        <v>2030.4815626948716</v>
      </c>
    </row>
    <row r="76" ht="27" customHeight="true">
      <c r="A76" s="2" t="str">
        <v>盐城</v>
      </c>
      <c r="B76" s="10" t="n">
        <v>2021</v>
      </c>
      <c r="C76" s="9" t="n">
        <v>2260.5395766262377</v>
      </c>
      <c r="D76" s="9" t="n">
        <v>2260.5395766262377</v>
      </c>
      <c r="E76" s="9" t="n">
        <v>2260.5395766262377</v>
      </c>
      <c r="F76" s="9" t="n">
        <v>2260.5395766262377</v>
      </c>
      <c r="G76" s="9" t="n">
        <v>2260.5395766262377</v>
      </c>
    </row>
    <row r="77" ht="27" customHeight="true">
      <c r="A77" s="2" t="str">
        <v>盐城</v>
      </c>
      <c r="B77" s="10" t="n">
        <v>2022</v>
      </c>
      <c r="C77" s="9" t="n">
        <v>2423.4368817982763</v>
      </c>
      <c r="D77" s="9" t="n">
        <v>2423.4368817982763</v>
      </c>
      <c r="E77" s="9" t="n">
        <v>2423.4368817982763</v>
      </c>
      <c r="F77" s="9" t="n">
        <v>2423.4368817982763</v>
      </c>
      <c r="G77" s="9" t="n">
        <v>2423.4368817982763</v>
      </c>
    </row>
    <row r="78" ht="27" customHeight="true">
      <c r="A78" s="2" t="str">
        <v>盐城</v>
      </c>
      <c r="B78" s="10" t="n">
        <v>2023</v>
      </c>
      <c r="C78" s="9" t="n">
        <v>2454.11</v>
      </c>
      <c r="D78" s="9" t="n">
        <v>2454.11</v>
      </c>
      <c r="E78" s="9" t="n">
        <v>2454.11</v>
      </c>
      <c r="F78" s="9" t="n">
        <v>2454.11</v>
      </c>
      <c r="G78" s="9" t="n">
        <v>2454.11</v>
      </c>
    </row>
    <row r="79" ht="27" customHeight="true">
      <c r="A79" s="2" t="str">
        <v>盐城</v>
      </c>
      <c r="B79" s="10" t="n">
        <v>2024</v>
      </c>
      <c r="C79" s="9" t="n">
        <v>2530.7188193612005</v>
      </c>
      <c r="D79" s="9" t="n">
        <v>2528.0045877111597</v>
      </c>
      <c r="E79" s="9" t="n">
        <v>2526.4408477951574</v>
      </c>
      <c r="F79" s="9" t="n">
        <v>2528.6160930271585</v>
      </c>
      <c r="G79" s="9" t="n">
        <v>2533.666027888439</v>
      </c>
    </row>
    <row r="80" ht="27" customHeight="true">
      <c r="A80" s="2" t="str">
        <v>盐城</v>
      </c>
      <c r="B80" s="10" t="n">
        <v>2025</v>
      </c>
      <c r="C80" s="9" t="n">
        <v>2609.7648020734564</v>
      </c>
      <c r="D80" s="9" t="n">
        <v>2604.0591978975845</v>
      </c>
      <c r="E80" s="9" t="n">
        <v>2599.2614824840093</v>
      </c>
      <c r="F80" s="9" t="n">
        <v>2605.414178241695</v>
      </c>
      <c r="G80" s="9" t="n">
        <v>2617.173737931387</v>
      </c>
    </row>
    <row r="81" ht="27" customHeight="true">
      <c r="A81" s="2" t="str">
        <v>盐城</v>
      </c>
      <c r="B81" s="10" t="n">
        <v>2026</v>
      </c>
      <c r="C81" s="9" t="n">
        <v>2685.2005804258974</v>
      </c>
      <c r="D81" s="9" t="n">
        <v>2676.2624223224216</v>
      </c>
      <c r="E81" s="9" t="n">
        <v>2666.3598021744992</v>
      </c>
      <c r="F81" s="9" t="n">
        <v>2678.4843615811164</v>
      </c>
      <c r="G81" s="9" t="n">
        <v>2698.673539936109</v>
      </c>
    </row>
    <row r="82" ht="27" customHeight="true">
      <c r="A82" s="2" t="str">
        <v>盐城</v>
      </c>
      <c r="B82" s="10" t="n">
        <v>2027</v>
      </c>
      <c r="C82" s="9" t="n">
        <v>2759.9416920061435</v>
      </c>
      <c r="D82" s="9" t="n">
        <v>2747.5551204753615</v>
      </c>
      <c r="E82" s="9" t="n">
        <v>2730.4878514958223</v>
      </c>
      <c r="F82" s="9" t="n">
        <v>2750.7595265775744</v>
      </c>
      <c r="G82" s="9" t="n">
        <v>2781.1736255841843</v>
      </c>
    </row>
    <row r="83" ht="27" customHeight="true">
      <c r="A83" s="2" t="str">
        <v>盐城</v>
      </c>
      <c r="B83" s="10" t="n">
        <v>2028</v>
      </c>
      <c r="C83" s="9" t="n">
        <v>2833.416700744323</v>
      </c>
      <c r="D83" s="9" t="n">
        <v>2817.3974606586034</v>
      </c>
      <c r="E83" s="9" t="n">
        <v>2790.931992081731</v>
      </c>
      <c r="F83" s="9" t="n">
        <v>2821.6899753121934</v>
      </c>
      <c r="G83" s="9" t="n">
        <v>2864.1881046914427</v>
      </c>
    </row>
    <row r="84" ht="27" customHeight="true">
      <c r="A84" s="2" t="str">
        <v>盐城</v>
      </c>
      <c r="B84" s="10" t="n">
        <v>2029</v>
      </c>
      <c r="C84" s="9" t="n">
        <v>2905.2834764753356</v>
      </c>
      <c r="D84" s="9" t="n">
        <v>2885.479836147123</v>
      </c>
      <c r="E84" s="9" t="n">
        <v>2847.224855954213</v>
      </c>
      <c r="F84" s="9" t="n">
        <v>2890.9550672147357</v>
      </c>
      <c r="G84" s="9" t="n">
        <v>2947.4558032486457</v>
      </c>
    </row>
    <row r="85" ht="27" customHeight="true">
      <c r="A85" s="2" t="str">
        <v>盐城</v>
      </c>
      <c r="B85" s="10" t="n">
        <v>2030</v>
      </c>
      <c r="C85" s="9" t="n">
        <v>2975.3487687820257</v>
      </c>
      <c r="D85" s="9" t="n">
        <v>2951.6410368267298</v>
      </c>
      <c r="E85" s="9" t="n">
        <v>2899.063144708245</v>
      </c>
      <c r="F85" s="9" t="n">
        <v>2958.381674031828</v>
      </c>
      <c r="G85" s="9" t="n">
        <v>3030.8607913388983</v>
      </c>
    </row>
    <row r="86" ht="27" customHeight="true">
      <c r="A86" s="2" t="str">
        <v>宿迁</v>
      </c>
      <c r="B86" s="10" t="n">
        <v>2010</v>
      </c>
      <c r="C86" s="9" t="n">
        <v>472.5534559505099</v>
      </c>
      <c r="D86" s="9" t="n">
        <v>472.5534559505099</v>
      </c>
      <c r="E86" s="9" t="n">
        <v>472.5534559505099</v>
      </c>
      <c r="F86" s="9" t="n">
        <v>472.5534559505099</v>
      </c>
      <c r="G86" s="9" t="n">
        <v>472.5534559505099</v>
      </c>
    </row>
    <row r="87" ht="27" customHeight="true">
      <c r="A87" s="2" t="str">
        <v>宿迁</v>
      </c>
      <c r="B87" s="10" t="n">
        <v>2011</v>
      </c>
      <c r="C87" s="9" t="n">
        <v>578.1353910579676</v>
      </c>
      <c r="D87" s="9" t="n">
        <v>578.1353910579676</v>
      </c>
      <c r="E87" s="9" t="n">
        <v>578.1353910579676</v>
      </c>
      <c r="F87" s="9" t="n">
        <v>578.1353910579676</v>
      </c>
      <c r="G87" s="9" t="n">
        <v>578.1353910579676</v>
      </c>
    </row>
    <row r="88" ht="27" customHeight="true">
      <c r="A88" s="2" t="str">
        <v>宿迁</v>
      </c>
      <c r="B88" s="10" t="n">
        <v>2012</v>
      </c>
      <c r="C88" s="9" t="n">
        <v>680.0062458693008</v>
      </c>
      <c r="D88" s="9" t="n">
        <v>680.0062458693008</v>
      </c>
      <c r="E88" s="9" t="n">
        <v>680.0062458693008</v>
      </c>
      <c r="F88" s="9" t="n">
        <v>680.0062458693008</v>
      </c>
      <c r="G88" s="9" t="n">
        <v>680.0062458693008</v>
      </c>
    </row>
    <row r="89" ht="27" customHeight="true">
      <c r="A89" s="2" t="str">
        <v>宿迁</v>
      </c>
      <c r="B89" s="10" t="n">
        <v>2013</v>
      </c>
      <c r="C89" s="9" t="n">
        <v>777.2457043229764</v>
      </c>
      <c r="D89" s="9" t="n">
        <v>777.2457043229764</v>
      </c>
      <c r="E89" s="9" t="n">
        <v>777.2457043229764</v>
      </c>
      <c r="F89" s="9" t="n">
        <v>777.2457043229764</v>
      </c>
      <c r="G89" s="9" t="n">
        <v>777.2457043229764</v>
      </c>
    </row>
    <row r="90" ht="27" customHeight="true">
      <c r="A90" s="2" t="str">
        <v>宿迁</v>
      </c>
      <c r="B90" s="10" t="n">
        <v>2014</v>
      </c>
      <c r="C90" s="9" t="n">
        <v>888.4668314380621</v>
      </c>
      <c r="D90" s="9" t="n">
        <v>888.4668314380621</v>
      </c>
      <c r="E90" s="9" t="n">
        <v>888.4668314380621</v>
      </c>
      <c r="F90" s="9" t="n">
        <v>888.4668314380621</v>
      </c>
      <c r="G90" s="9" t="n">
        <v>888.4668314380621</v>
      </c>
    </row>
    <row r="91" ht="27" customHeight="true">
      <c r="A91" s="2" t="str">
        <v>宿迁</v>
      </c>
      <c r="B91" s="10" t="n">
        <v>2015</v>
      </c>
      <c r="C91" s="9" t="n">
        <v>981.4374542746968</v>
      </c>
      <c r="D91" s="9" t="n">
        <v>981.4374542746968</v>
      </c>
      <c r="E91" s="9" t="n">
        <v>981.4374542746968</v>
      </c>
      <c r="F91" s="9" t="n">
        <v>981.4374542746968</v>
      </c>
      <c r="G91" s="9" t="n">
        <v>981.4374542746968</v>
      </c>
    </row>
    <row r="92" ht="27" customHeight="true">
      <c r="A92" s="2" t="str">
        <v>宿迁</v>
      </c>
      <c r="B92" s="10" t="n">
        <v>2016</v>
      </c>
      <c r="C92" s="9" t="n">
        <v>1090.55816230585</v>
      </c>
      <c r="D92" s="9" t="n">
        <v>1090.55816230585</v>
      </c>
      <c r="E92" s="9" t="n">
        <v>1090.55816230585</v>
      </c>
      <c r="F92" s="9" t="n">
        <v>1090.55816230585</v>
      </c>
      <c r="G92" s="9" t="n">
        <v>1090.55816230585</v>
      </c>
    </row>
    <row r="93" ht="27" customHeight="true">
      <c r="A93" s="2" t="str">
        <v>宿迁</v>
      </c>
      <c r="B93" s="10" t="n">
        <v>2017</v>
      </c>
      <c r="C93" s="9" t="n">
        <v>1156.99580832145</v>
      </c>
      <c r="D93" s="9" t="n">
        <v>1156.99580832145</v>
      </c>
      <c r="E93" s="9" t="n">
        <v>1156.99580832145</v>
      </c>
      <c r="F93" s="9" t="n">
        <v>1156.99580832145</v>
      </c>
      <c r="G93" s="9" t="n">
        <v>1156.99580832145</v>
      </c>
    </row>
    <row r="94" ht="27" customHeight="true">
      <c r="A94" s="2" t="str">
        <v>宿迁</v>
      </c>
      <c r="B94" s="10" t="n">
        <v>2018</v>
      </c>
      <c r="C94" s="9" t="n">
        <v>1145.2852586253782</v>
      </c>
      <c r="D94" s="9" t="n">
        <v>1145.2852586253782</v>
      </c>
      <c r="E94" s="9" t="n">
        <v>1145.2852586253782</v>
      </c>
      <c r="F94" s="9" t="n">
        <v>1145.2852586253782</v>
      </c>
      <c r="G94" s="9" t="n">
        <v>1145.2852586253782</v>
      </c>
    </row>
    <row r="95" ht="27" customHeight="true">
      <c r="A95" s="2" t="str">
        <v>宿迁</v>
      </c>
      <c r="B95" s="10" t="n">
        <v>2019</v>
      </c>
      <c r="C95" s="9" t="n">
        <v>1157.5702499899842</v>
      </c>
      <c r="D95" s="9" t="n">
        <v>1157.5702499899842</v>
      </c>
      <c r="E95" s="9" t="n">
        <v>1157.5702499899842</v>
      </c>
      <c r="F95" s="9" t="n">
        <v>1157.5702499899842</v>
      </c>
      <c r="G95" s="9" t="n">
        <v>1157.5702499899842</v>
      </c>
    </row>
    <row r="96" ht="27" customHeight="true">
      <c r="A96" s="2" t="str">
        <v>宿迁</v>
      </c>
      <c r="B96" s="10" t="n">
        <v>2020</v>
      </c>
      <c r="C96" s="9" t="n">
        <v>1186.1497396024513</v>
      </c>
      <c r="D96" s="9" t="n">
        <v>1186.1497396024513</v>
      </c>
      <c r="E96" s="9" t="n">
        <v>1186.1497396024513</v>
      </c>
      <c r="F96" s="9" t="n">
        <v>1186.1497396024513</v>
      </c>
      <c r="G96" s="9" t="n">
        <v>1186.1497396024513</v>
      </c>
    </row>
    <row r="97" ht="27" customHeight="true">
      <c r="A97" s="2" t="str">
        <v>宿迁</v>
      </c>
      <c r="B97" s="10" t="n">
        <v>2021</v>
      </c>
      <c r="C97" s="9" t="n">
        <v>1363.157949433641</v>
      </c>
      <c r="D97" s="9" t="n">
        <v>1363.157949433641</v>
      </c>
      <c r="E97" s="9" t="n">
        <v>1363.157949433641</v>
      </c>
      <c r="F97" s="9" t="n">
        <v>1363.157949433641</v>
      </c>
      <c r="G97" s="9" t="n">
        <v>1363.157949433641</v>
      </c>
    </row>
    <row r="98" ht="27" customHeight="true">
      <c r="A98" s="2" t="str">
        <v>宿迁</v>
      </c>
      <c r="B98" s="10" t="n">
        <v>2022</v>
      </c>
      <c r="C98" s="9" t="n">
        <v>1531.7118516277862</v>
      </c>
      <c r="D98" s="9" t="n">
        <v>1531.7118516277862</v>
      </c>
      <c r="E98" s="9" t="n">
        <v>1531.7118516277862</v>
      </c>
      <c r="F98" s="9" t="n">
        <v>1531.7118516277862</v>
      </c>
      <c r="G98" s="9" t="n">
        <v>1531.7118516277862</v>
      </c>
    </row>
    <row r="99" ht="27" customHeight="true">
      <c r="A99" s="2" t="str">
        <v>宿迁</v>
      </c>
      <c r="B99" s="10" t="n">
        <v>2023</v>
      </c>
      <c r="C99" s="9" t="n">
        <v>1614.18</v>
      </c>
      <c r="D99" s="9" t="n">
        <v>1614.18</v>
      </c>
      <c r="E99" s="9" t="n">
        <v>1614.18</v>
      </c>
      <c r="F99" s="9" t="n">
        <v>1614.18</v>
      </c>
      <c r="G99" s="9" t="n">
        <v>1614.18</v>
      </c>
    </row>
    <row r="100" ht="27" customHeight="true">
      <c r="A100" s="2" t="str">
        <v>宿迁</v>
      </c>
      <c r="B100" s="10" t="n">
        <v>2024</v>
      </c>
      <c r="C100" s="9" t="n">
        <v>1663.1175029667552</v>
      </c>
      <c r="D100" s="9" t="n">
        <v>1655.3791261303716</v>
      </c>
      <c r="E100" s="9" t="n">
        <v>1652.7561367131095</v>
      </c>
      <c r="F100" s="9" t="n">
        <v>1657.0270782253272</v>
      </c>
      <c r="G100" s="9" t="n">
        <v>1669.5241643479737</v>
      </c>
    </row>
    <row r="101" ht="27" customHeight="true">
      <c r="A101" s="2" t="str">
        <v>宿迁</v>
      </c>
      <c r="B101" s="10" t="n">
        <v>2025</v>
      </c>
      <c r="C101" s="9" t="n">
        <v>1711.8697221641253</v>
      </c>
      <c r="D101" s="9" t="n">
        <v>1696.5381346915715</v>
      </c>
      <c r="E101" s="9" t="n">
        <v>1691.003064377564</v>
      </c>
      <c r="F101" s="9" t="n">
        <v>1699.8866646003808</v>
      </c>
      <c r="G101" s="9" t="n">
        <v>1724.9265951879777</v>
      </c>
    </row>
    <row r="102" ht="27" customHeight="true">
      <c r="A102" s="2" t="str">
        <v>宿迁</v>
      </c>
      <c r="B102" s="10" t="n">
        <v>2026</v>
      </c>
      <c r="C102" s="9" t="n">
        <v>1757.9479001775412</v>
      </c>
      <c r="D102" s="9" t="n">
        <v>1735.2278085256758</v>
      </c>
      <c r="E102" s="9" t="n">
        <v>1726.515961449533</v>
      </c>
      <c r="F102" s="9" t="n">
        <v>1740.3113877341682</v>
      </c>
      <c r="G102" s="9" t="n">
        <v>1777.8935235661027</v>
      </c>
    </row>
    <row r="103" ht="27" customHeight="true">
      <c r="A103" s="2" t="str">
        <v>宿迁</v>
      </c>
      <c r="B103" s="10" t="n">
        <v>2027</v>
      </c>
      <c r="C103" s="9" t="n">
        <v>1803.5348532681596</v>
      </c>
      <c r="D103" s="9" t="n">
        <v>1773.6489075591987</v>
      </c>
      <c r="E103" s="9" t="n">
        <v>1761.5073521956128</v>
      </c>
      <c r="F103" s="9" t="n">
        <v>1780.491037403232</v>
      </c>
      <c r="G103" s="9" t="n">
        <v>1830.6317817574286</v>
      </c>
    </row>
    <row r="104" ht="27" customHeight="true">
      <c r="A104" s="2" t="str">
        <v>宿迁</v>
      </c>
      <c r="B104" s="10" t="n">
        <v>2028</v>
      </c>
      <c r="C104" s="9" t="n">
        <v>1848.63281568266</v>
      </c>
      <c r="D104" s="9" t="n">
        <v>1811.8263790388394</v>
      </c>
      <c r="E104" s="9" t="n">
        <v>1796.0165937489835</v>
      </c>
      <c r="F104" s="9" t="n">
        <v>1820.438536414512</v>
      </c>
      <c r="G104" s="9" t="n">
        <v>1883.1597276904945</v>
      </c>
    </row>
    <row r="105" ht="27" customHeight="true">
      <c r="A105" s="2" t="str">
        <v>宿迁</v>
      </c>
      <c r="B105" s="10" t="n">
        <v>2029</v>
      </c>
      <c r="C105" s="9" t="n">
        <v>1893.2553893050986</v>
      </c>
      <c r="D105" s="9" t="n">
        <v>1849.7927745095885</v>
      </c>
      <c r="E105" s="9" t="n">
        <v>1830.0902669993395</v>
      </c>
      <c r="F105" s="9" t="n">
        <v>1860.174738408489</v>
      </c>
      <c r="G105" s="9" t="n">
        <v>1935.5062509770828</v>
      </c>
    </row>
    <row r="106" ht="27" customHeight="true">
      <c r="A106" s="2" t="str">
        <v>宿迁</v>
      </c>
      <c r="B106" s="10" t="n">
        <v>2030</v>
      </c>
      <c r="C106" s="9" t="n">
        <v>1937.4232951075096</v>
      </c>
      <c r="D106" s="9" t="n">
        <v>1887.5842726617975</v>
      </c>
      <c r="E106" s="9" t="n">
        <v>1863.7778652487534</v>
      </c>
      <c r="F106" s="9" t="n">
        <v>1899.72437665004</v>
      </c>
      <c r="G106" s="9" t="n">
        <v>1987.7064312358907</v>
      </c>
    </row>
    <row r="107" ht="27" customHeight="true">
      <c r="A107" s="2" t="str">
        <v>区域合计</v>
      </c>
      <c r="B107" s="10" t="n">
        <v>2010</v>
      </c>
      <c r="C107" s="9" t="n">
        <v>4353.271973414934</v>
      </c>
      <c r="D107" s="9" t="n">
        <v>4353.271973414934</v>
      </c>
      <c r="E107" s="9" t="n">
        <v>4353.271973414934</v>
      </c>
      <c r="F107" s="9" t="n">
        <v>4353.271973414934</v>
      </c>
      <c r="G107" s="9" t="n">
        <v>4353.271973414934</v>
      </c>
    </row>
    <row r="108" ht="27" customHeight="true">
      <c r="A108" s="2" t="str">
        <v>区域合计</v>
      </c>
      <c r="B108" s="10" t="n">
        <v>2011</v>
      </c>
      <c r="C108" s="9" t="n">
        <v>4949.829175572928</v>
      </c>
      <c r="D108" s="9" t="n">
        <v>4949.829175572928</v>
      </c>
      <c r="E108" s="9" t="n">
        <v>4949.829175572928</v>
      </c>
      <c r="F108" s="9" t="n">
        <v>4949.829175572928</v>
      </c>
      <c r="G108" s="9" t="n">
        <v>4949.829175572928</v>
      </c>
    </row>
    <row r="109" ht="27" customHeight="true">
      <c r="A109" s="2" t="str">
        <v>区域合计</v>
      </c>
      <c r="B109" s="10" t="n">
        <v>2012</v>
      </c>
      <c r="C109" s="9" t="n">
        <v>5574.490183174302</v>
      </c>
      <c r="D109" s="9" t="n">
        <v>5574.490183174302</v>
      </c>
      <c r="E109" s="9" t="n">
        <v>5574.490183174302</v>
      </c>
      <c r="F109" s="9" t="n">
        <v>5574.490183174302</v>
      </c>
      <c r="G109" s="9" t="n">
        <v>5574.490183174302</v>
      </c>
    </row>
    <row r="110" ht="27" customHeight="true">
      <c r="A110" s="2" t="str">
        <v>区域合计</v>
      </c>
      <c r="B110" s="10" t="n">
        <v>2013</v>
      </c>
      <c r="C110" s="9" t="n">
        <v>6110.976764332692</v>
      </c>
      <c r="D110" s="9" t="n">
        <v>6110.976764332692</v>
      </c>
      <c r="E110" s="9" t="n">
        <v>6110.976764332692</v>
      </c>
      <c r="F110" s="9" t="n">
        <v>6110.976764332692</v>
      </c>
      <c r="G110" s="9" t="n">
        <v>6110.976764332692</v>
      </c>
    </row>
    <row r="111" ht="27" customHeight="true">
      <c r="A111" s="2" t="str">
        <v>区域合计</v>
      </c>
      <c r="B111" s="10" t="n">
        <v>2014</v>
      </c>
      <c r="C111" s="9" t="n">
        <v>6598.257954935156</v>
      </c>
      <c r="D111" s="9" t="n">
        <v>6598.257954935156</v>
      </c>
      <c r="E111" s="9" t="n">
        <v>6598.257954935156</v>
      </c>
      <c r="F111" s="9" t="n">
        <v>6598.257954935156</v>
      </c>
      <c r="G111" s="9" t="n">
        <v>6598.257954935156</v>
      </c>
    </row>
    <row r="112" ht="27" customHeight="true">
      <c r="A112" s="2" t="str">
        <v>区域合计</v>
      </c>
      <c r="B112" s="10" t="n">
        <v>2015</v>
      </c>
      <c r="C112" s="9" t="n">
        <v>7033.245379847871</v>
      </c>
      <c r="D112" s="9" t="n">
        <v>7033.245379847871</v>
      </c>
      <c r="E112" s="9" t="n">
        <v>7033.245379847871</v>
      </c>
      <c r="F112" s="9" t="n">
        <v>7033.245379847871</v>
      </c>
      <c r="G112" s="9" t="n">
        <v>7033.245379847871</v>
      </c>
    </row>
    <row r="113" ht="27" customHeight="true">
      <c r="A113" s="2" t="str">
        <v>区域合计</v>
      </c>
      <c r="B113" s="10" t="n">
        <v>2016</v>
      </c>
      <c r="C113" s="9" t="n">
        <v>7585.6023611069395</v>
      </c>
      <c r="D113" s="9" t="n">
        <v>7585.6023611069395</v>
      </c>
      <c r="E113" s="9" t="n">
        <v>7585.6023611069395</v>
      </c>
      <c r="F113" s="9" t="n">
        <v>7585.6023611069395</v>
      </c>
      <c r="G113" s="9" t="n">
        <v>7585.6023611069395</v>
      </c>
    </row>
    <row r="114" ht="27" customHeight="true">
      <c r="A114" s="2" t="str">
        <v>区域合计</v>
      </c>
      <c r="B114" s="10" t="n">
        <v>2017</v>
      </c>
      <c r="C114" s="9" t="n">
        <v>8205.122304383382</v>
      </c>
      <c r="D114" s="9" t="n">
        <v>8205.122304383382</v>
      </c>
      <c r="E114" s="9" t="n">
        <v>8205.122304383382</v>
      </c>
      <c r="F114" s="9" t="n">
        <v>8205.122304383382</v>
      </c>
      <c r="G114" s="9" t="n">
        <v>8205.122304383382</v>
      </c>
    </row>
    <row r="115" ht="27" customHeight="true">
      <c r="A115" s="2" t="str">
        <v>区域合计</v>
      </c>
      <c r="B115" s="10" t="n">
        <v>2018</v>
      </c>
      <c r="C115" s="9" t="n">
        <v>8191.251245071441</v>
      </c>
      <c r="D115" s="9" t="n">
        <v>8191.251245071441</v>
      </c>
      <c r="E115" s="9" t="n">
        <v>8191.251245071441</v>
      </c>
      <c r="F115" s="9" t="n">
        <v>8191.251245071441</v>
      </c>
      <c r="G115" s="9" t="n">
        <v>8191.251245071441</v>
      </c>
    </row>
    <row r="116" ht="27" customHeight="true">
      <c r="A116" s="2" t="str">
        <v>区域合计</v>
      </c>
      <c r="B116" s="10" t="n">
        <v>2019</v>
      </c>
      <c r="C116" s="9" t="n">
        <v>8232.253867200849</v>
      </c>
      <c r="D116" s="9" t="n">
        <v>8232.253867200849</v>
      </c>
      <c r="E116" s="9" t="n">
        <v>8232.253867200849</v>
      </c>
      <c r="F116" s="9" t="n">
        <v>8232.253867200849</v>
      </c>
      <c r="G116" s="9" t="n">
        <v>8232.253867200849</v>
      </c>
    </row>
    <row r="117" ht="27" customHeight="true">
      <c r="A117" s="2" t="str">
        <v>区域合计</v>
      </c>
      <c r="B117" s="10" t="n">
        <v>2020</v>
      </c>
      <c r="C117" s="9" t="n">
        <v>8218.179255666239</v>
      </c>
      <c r="D117" s="9" t="n">
        <v>8218.179255666239</v>
      </c>
      <c r="E117" s="9" t="n">
        <v>8218.179255666239</v>
      </c>
      <c r="F117" s="9" t="n">
        <v>8218.179255666239</v>
      </c>
      <c r="G117" s="9" t="n">
        <v>8218.179255666239</v>
      </c>
    </row>
    <row r="118" ht="27" customHeight="true">
      <c r="A118" s="2" t="str">
        <v>区域合计</v>
      </c>
      <c r="B118" s="10" t="n">
        <v>2021</v>
      </c>
      <c r="C118" s="9" t="n">
        <v>9297.394473926994</v>
      </c>
      <c r="D118" s="9" t="n">
        <v>9297.394473926994</v>
      </c>
      <c r="E118" s="9" t="n">
        <v>9297.394473926994</v>
      </c>
      <c r="F118" s="9" t="n">
        <v>9297.394473926994</v>
      </c>
      <c r="G118" s="9" t="n">
        <v>9297.394473926994</v>
      </c>
    </row>
    <row r="119" ht="27" customHeight="true">
      <c r="A119" s="2" t="str">
        <v>区域合计</v>
      </c>
      <c r="B119" s="10" t="n">
        <v>2022</v>
      </c>
      <c r="C119" s="9" t="n">
        <v>10016.629574307222</v>
      </c>
      <c r="D119" s="9" t="n">
        <v>10016.629574307222</v>
      </c>
      <c r="E119" s="9" t="n">
        <v>10016.629574307222</v>
      </c>
      <c r="F119" s="9" t="n">
        <v>10016.629574307222</v>
      </c>
      <c r="G119" s="9" t="n">
        <v>10016.629574307222</v>
      </c>
    </row>
    <row r="120" ht="27" customHeight="true">
      <c r="A120" s="2" t="str">
        <v>区域合计</v>
      </c>
      <c r="B120" s="10" t="n">
        <v>2023</v>
      </c>
      <c r="C120" s="9" t="n">
        <v>10362.03</v>
      </c>
      <c r="D120" s="9" t="n">
        <v>10362.03</v>
      </c>
      <c r="E120" s="9" t="n">
        <v>10362.03</v>
      </c>
      <c r="F120" s="9" t="n">
        <v>10362.03</v>
      </c>
      <c r="G120" s="9" t="n">
        <v>10362.03</v>
      </c>
    </row>
    <row r="121" ht="27" customHeight="true">
      <c r="A121" s="2" t="str">
        <v>区域合计</v>
      </c>
      <c r="B121" s="10" t="n">
        <v>2024</v>
      </c>
      <c r="C121" s="9" t="n">
        <v>10669.120344970781</v>
      </c>
      <c r="D121" s="9" t="n">
        <v>10654.851629344428</v>
      </c>
      <c r="E121" s="9" t="n">
        <v>10649.162690713305</v>
      </c>
      <c r="F121" s="9" t="n">
        <v>10657.999901899919</v>
      </c>
      <c r="G121" s="9" t="n">
        <v>10683.037544206034</v>
      </c>
    </row>
    <row r="122" ht="27" customHeight="true">
      <c r="A122" s="2" t="str">
        <v>区域合计</v>
      </c>
      <c r="B122" s="10" t="n">
        <v>2025</v>
      </c>
      <c r="C122" s="9" t="n">
        <v>10980.948670967859</v>
      </c>
      <c r="D122" s="9" t="n">
        <v>10951.715306495595</v>
      </c>
      <c r="E122" s="9" t="n">
        <v>10937.754362969987</v>
      </c>
      <c r="F122" s="9" t="n">
        <v>10958.415905674632</v>
      </c>
      <c r="G122" s="9" t="n">
        <v>11012.821534150107</v>
      </c>
    </row>
    <row r="123" ht="27" customHeight="true">
      <c r="A123" s="2" t="str">
        <v>区域合计</v>
      </c>
      <c r="B123" s="10" t="n">
        <v>2026</v>
      </c>
      <c r="C123" s="9" t="n">
        <v>11273.548854276332</v>
      </c>
      <c r="D123" s="9" t="n">
        <v>11228.83007609902</v>
      </c>
      <c r="E123" s="9" t="n">
        <v>11203.92040964967</v>
      </c>
      <c r="F123" s="9" t="n">
        <v>11239.435837856354</v>
      </c>
      <c r="G123" s="9" t="n">
        <v>11327.377261222491</v>
      </c>
    </row>
    <row r="124" ht="27" customHeight="true">
      <c r="A124" s="2" t="str">
        <v>区域合计</v>
      </c>
      <c r="B124" s="10" t="n">
        <v>2027</v>
      </c>
      <c r="C124" s="9" t="n">
        <v>11562.983320709014</v>
      </c>
      <c r="D124" s="9" t="n">
        <v>11502.357593500228</v>
      </c>
      <c r="E124" s="9" t="n">
        <v>11463.725653073918</v>
      </c>
      <c r="F124" s="9" t="n">
        <v>11517.178324585864</v>
      </c>
      <c r="G124" s="9" t="n">
        <v>11642.784702480307</v>
      </c>
    </row>
    <row r="125" ht="27" customHeight="true">
      <c r="A125" s="2" t="str">
        <v>区域合计</v>
      </c>
      <c r="B125" s="10" t="n">
        <v>2028</v>
      </c>
      <c r="C125" s="9" t="n">
        <v>11848.119367481104</v>
      </c>
      <c r="D125" s="9" t="n">
        <v>11771.285389167622</v>
      </c>
      <c r="E125" s="9" t="n">
        <v>11716.088136896597</v>
      </c>
      <c r="F125" s="9" t="n">
        <v>11790.582474086703</v>
      </c>
      <c r="G125" s="9" t="n">
        <v>11957.906477264474</v>
      </c>
    </row>
    <row r="126" ht="27" customHeight="true">
      <c r="A126" s="2" t="str">
        <v>区域合计</v>
      </c>
      <c r="B126" s="10" t="n">
        <v>2029</v>
      </c>
      <c r="C126" s="9" t="n">
        <v>12128.307560666564</v>
      </c>
      <c r="D126" s="9" t="n">
        <v>12035.083991282194</v>
      </c>
      <c r="E126" s="9" t="n">
        <v>11960.43229598056</v>
      </c>
      <c r="F126" s="9" t="n">
        <v>12059.067313921241</v>
      </c>
      <c r="G126" s="9" t="n">
        <v>12272.08041548608</v>
      </c>
    </row>
    <row r="127" ht="27" customHeight="true">
      <c r="A127" s="2" t="str">
        <v>区域合计</v>
      </c>
      <c r="B127" s="10" t="n">
        <v>2030</v>
      </c>
      <c r="C127" s="9" t="n">
        <v>12403.213235664984</v>
      </c>
      <c r="D127" s="9" t="n">
        <v>12293.535718208348</v>
      </c>
      <c r="E127" s="9" t="n">
        <v>12196.515676800944</v>
      </c>
      <c r="F127" s="9" t="n">
        <v>12322.361028364183</v>
      </c>
      <c r="G127" s="9" t="n">
        <v>12584.953004072098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="http://schemas.openxmlformats.org/spreadsheetml/2006/main" xmlns:mc="http://schemas.openxmlformats.org/markup-compatibility/2006" xmlns:x14ac="http://schemas.microsoft.com/office/spreadsheetml/2009/9/ac" mc:Ignorable="x14ac">
  <dimension ref="A1:C25"/>
  <sheetViews>
    <sheetView showGridLines="false" workbookViewId="0">
      <pane ySplit="1" topLeftCell="A2" activePane="bottomLeft" state="frozen"/>
    </sheetView>
  </sheetViews>
  <sheetFormatPr defaultRowHeight="15"/>
  <cols>
    <col min="1" max="1" width="24.25" hidden="false" customWidth="true"/>
    <col min="2" max="2" width="11.625" hidden="false" customWidth="true"/>
    <col min="3" max="3" width="51.125" hidden="false" customWidth="true"/>
  </cols>
  <sheetData>
    <row r="1">
      <c r="A1" s="0" t="s">
        <v>0</v>
      </c>
      <c r="B1" s="0" t="s">
        <v>18</v>
      </c>
      <c r="C1" s="0" t="s">
        <v>20</v>
      </c>
    </row>
    <row r="2">
      <c r="A2" s="0" t="s">
        <v>1</v>
      </c>
      <c r="B2" s="0">
        <v>200</v>
      </c>
      <c r="C2" s="0" t="s">
        <v>21</v>
      </c>
    </row>
    <row r="3">
      <c r="A3" s="0" t="s">
        <v>2</v>
      </c>
      <c r="B3" s="0">
        <v>4</v>
      </c>
      <c r="C3" s="0" t="s">
        <v>22</v>
      </c>
    </row>
    <row r="4">
      <c r="A4" s="0" t="s">
        <v>3</v>
      </c>
      <c r="B4" s="0">
        <v>30</v>
      </c>
      <c r="C4" s="0" t="s">
        <v>23</v>
      </c>
    </row>
    <row r="5">
      <c r="A5" s="0" t="s">
        <v>4</v>
      </c>
      <c r="B5" s="0">
        <v>80</v>
      </c>
      <c r="C5" s="0" t="s">
        <v>24</v>
      </c>
    </row>
    <row r="6">
      <c r="A6" s="0" t="s">
        <v>5</v>
      </c>
      <c r="B6" s="0">
        <v>0.001</v>
      </c>
      <c r="C6" s="0" t="s">
        <v>25</v>
      </c>
    </row>
    <row r="7">
      <c r="A7" s="0" t="s">
        <v>6</v>
      </c>
      <c r="B7" s="0">
        <v>20261024</v>
      </c>
      <c r="C7" s="0" t="s">
        <v>26</v>
      </c>
    </row>
    <row r="8">
      <c r="A8" s="0" t="s">
        <v>7</v>
      </c>
      <c r="B8" s="0">
        <v>2019</v>
      </c>
      <c r="C8" s="0" t="s">
        <v>27</v>
      </c>
    </row>
    <row r="9">
      <c r="A9" s="0" t="s">
        <v>8</v>
      </c>
      <c r="B9" s="0">
        <v>2023</v>
      </c>
      <c r="C9" s="0" t="s">
        <v>28</v>
      </c>
    </row>
    <row r="10">
      <c r="A10" s="0" t="s">
        <v>9</v>
      </c>
      <c r="B10" s="0">
        <v>2030</v>
      </c>
      <c r="C10" s="0" t="s">
        <v>29</v>
      </c>
    </row>
    <row r="11">
      <c r="A11" s="0" t="s">
        <v>10</v>
      </c>
      <c r="B11" s="0">
        <v>0.20000000000000001</v>
      </c>
      <c r="C11" s="0" t="s">
        <v>30</v>
      </c>
    </row>
    <row r="12">
      <c r="A12" s="0" t="s">
        <v>11</v>
      </c>
      <c r="B12" s="0">
        <v>6</v>
      </c>
      <c r="C12" s="0" t="s">
        <v>31</v>
      </c>
    </row>
    <row r="13">
      <c r="A13" s="0" t="s">
        <v>12</v>
      </c>
      <c r="B13" s="0" t="s">
        <v>19</v>
      </c>
      <c r="C13" s="0"/>
    </row>
    <row r="14">
      <c r="A14" s="0" t="s">
        <v>13</v>
      </c>
      <c r="B14" s="0">
        <v>0.622</v>
      </c>
      <c r="C14" s="0"/>
    </row>
    <row r="15">
      <c r="A15" s="0" t="s">
        <v>14</v>
      </c>
      <c r="B15" s="0">
        <v>0.68999999999999995</v>
      </c>
      <c r="C15" s="0"/>
    </row>
    <row r="16">
      <c r="A16" s="0" t="s">
        <v>15</v>
      </c>
      <c r="B16" s="0">
        <v>11</v>
      </c>
      <c r="C16" s="0"/>
    </row>
    <row r="17">
      <c r="A17" s="0" t="s">
        <v>16</v>
      </c>
      <c r="B17" s="0">
        <v>1.2034406536286697</v>
      </c>
      <c r="C17" s="0"/>
    </row>
    <row r="18">
      <c r="A18" s="0" t="s">
        <v>17</v>
      </c>
      <c r="B18" s="0">
        <v>600</v>
      </c>
      <c r="C18" s="0"/>
    </row>
    <row r="19">
      <c r="A19" s="0" t="s">
        <v>186</v>
      </c>
      <c r="B19" s="0">
        <v>2021</v>
      </c>
      <c r="C19" s="0" t="s">
        <v>193</v>
      </c>
    </row>
    <row r="20">
      <c r="A20" s="0" t="s">
        <v>187</v>
      </c>
      <c r="B20" s="0">
        <v>2023</v>
      </c>
      <c r="C20" s="0" t="s">
        <v>194</v>
      </c>
    </row>
    <row r="21">
      <c r="A21" s="0" t="s">
        <v>188</v>
      </c>
      <c r="B21" s="0">
        <v>173.25866293314667</v>
      </c>
      <c r="C21" s="0" t="s">
        <v>195</v>
      </c>
    </row>
    <row r="22">
      <c r="A22" s="0" t="s">
        <v>189</v>
      </c>
      <c r="B22" s="0">
        <v>2023</v>
      </c>
      <c r="C22" s="0" t="s">
        <v>196</v>
      </c>
    </row>
    <row r="23">
      <c r="A23" s="0" t="s">
        <v>190</v>
      </c>
      <c r="B23" s="0">
        <v>165</v>
      </c>
      <c r="C23" s="0" t="s">
        <v>197</v>
      </c>
    </row>
    <row r="24">
      <c r="A24" s="0" t="s">
        <v>191</v>
      </c>
      <c r="B24" s="0">
        <v>571.39999999999998</v>
      </c>
      <c r="C24" s="0" t="s">
        <v>198</v>
      </c>
    </row>
    <row r="25">
      <c r="A25" s="0" t="s">
        <v>192</v>
      </c>
      <c r="B25" s="0">
        <v>0</v>
      </c>
      <c r="C25" s="0" t="s">
        <v>199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="http://schemas.openxmlformats.org/spreadsheetml/2006/main" xmlns:mc="http://schemas.openxmlformats.org/markup-compatibility/2006" xmlns:x14ac="http://schemas.microsoft.com/office/spreadsheetml/2009/9/ac" mc:Ignorable="x14ac">
  <dimension ref="A1:E27"/>
  <sheetViews>
    <sheetView showGridLines="false" workbookViewId="0">
      <pane ySplit="1" topLeftCell="A2" activePane="bottomLeft" state="frozen"/>
    </sheetView>
  </sheetViews>
  <sheetFormatPr defaultRowHeight="15"/>
  <cols>
    <col min="1" max="1" width="21.125" hidden="false" customWidth="true"/>
    <col min="2" max="2" width="87.125" hidden="false" customWidth="true"/>
    <col min="3" max="3" width="97.125" hidden="false" customWidth="true"/>
    <col min="4" max="4" width="101.5" hidden="false" customWidth="true"/>
    <col min="5" max="5" width="11" hidden="false" customWidth="true"/>
  </cols>
  <sheetData>
    <row r="1">
      <c r="A1" s="0" t="s">
        <v>32</v>
      </c>
      <c r="B1" s="0" t="s">
        <v>52</v>
      </c>
      <c r="C1" s="0" t="s">
        <v>72</v>
      </c>
      <c r="D1" s="0" t="s">
        <v>92</v>
      </c>
      <c r="E1" s="0" t="s">
        <v>110</v>
      </c>
    </row>
    <row r="2">
      <c r="A2" s="0" t="s">
        <v>33</v>
      </c>
      <c r="B2" s="0" t="s">
        <v>53</v>
      </c>
      <c r="C2" s="0" t="s">
        <v>73</v>
      </c>
      <c r="D2" s="0" t="s">
        <v>93</v>
      </c>
      <c r="E2" s="0" t="s">
        <v>111</v>
      </c>
    </row>
    <row r="3">
      <c r="A3" s="0" t="s">
        <v>34</v>
      </c>
      <c r="B3" s="0" t="s">
        <v>54</v>
      </c>
      <c r="C3" s="0" t="s">
        <v>74</v>
      </c>
      <c r="D3" s="0" t="s">
        <v>94</v>
      </c>
      <c r="E3" s="0" t="s">
        <v>112</v>
      </c>
    </row>
    <row r="4">
      <c r="A4" s="0" t="s">
        <v>35</v>
      </c>
      <c r="B4" s="0" t="s">
        <v>55</v>
      </c>
      <c r="C4" s="0" t="s">
        <v>75</v>
      </c>
      <c r="D4" s="0" t="s">
        <v>95</v>
      </c>
      <c r="E4" s="0" t="s">
        <v>113</v>
      </c>
    </row>
    <row r="5">
      <c r="A5" s="0" t="s">
        <v>36</v>
      </c>
      <c r="B5" s="0" t="s">
        <v>56</v>
      </c>
      <c r="C5" s="0" t="s">
        <v>76</v>
      </c>
      <c r="D5" s="0" t="s">
        <v>96</v>
      </c>
      <c r="E5" s="0" t="s">
        <v>113</v>
      </c>
    </row>
    <row r="6">
      <c r="A6" s="0" t="s">
        <v>37</v>
      </c>
      <c r="B6" s="0" t="s">
        <v>57</v>
      </c>
      <c r="C6" s="0" t="s">
        <v>77</v>
      </c>
      <c r="D6" s="0" t="s">
        <v>97</v>
      </c>
      <c r="E6" s="0" t="s">
        <v>114</v>
      </c>
    </row>
    <row r="7">
      <c r="A7" s="0" t="s">
        <v>38</v>
      </c>
      <c r="B7" s="0" t="s">
        <v>58</v>
      </c>
      <c r="C7" s="0" t="s">
        <v>78</v>
      </c>
      <c r="D7" s="0" t="s">
        <v>98</v>
      </c>
      <c r="E7" s="0" t="s">
        <v>115</v>
      </c>
    </row>
    <row r="8">
      <c r="A8" s="0" t="s">
        <v>39</v>
      </c>
      <c r="B8" s="0" t="s">
        <v>59</v>
      </c>
      <c r="C8" s="0" t="s">
        <v>79</v>
      </c>
      <c r="D8" s="0" t="s">
        <v>99</v>
      </c>
      <c r="E8" s="0" t="s">
        <v>114</v>
      </c>
    </row>
    <row r="9">
      <c r="A9" s="0" t="s">
        <v>40</v>
      </c>
      <c r="B9" s="0" t="s">
        <v>60</v>
      </c>
      <c r="C9" s="0" t="s">
        <v>80</v>
      </c>
      <c r="D9" s="0" t="s">
        <v>100</v>
      </c>
      <c r="E9" s="0" t="s">
        <v>112</v>
      </c>
    </row>
    <row r="10">
      <c r="A10" s="0" t="s">
        <v>41</v>
      </c>
      <c r="B10" s="0" t="s">
        <v>61</v>
      </c>
      <c r="C10" s="0" t="s">
        <v>81</v>
      </c>
      <c r="D10" s="0" t="s">
        <v>101</v>
      </c>
      <c r="E10" s="0" t="s">
        <v>116</v>
      </c>
    </row>
    <row r="11">
      <c r="A11" s="0" t="s">
        <v>42</v>
      </c>
      <c r="B11" s="0" t="s">
        <v>62</v>
      </c>
      <c r="C11" s="0" t="s">
        <v>82</v>
      </c>
      <c r="D11" s="0" t="s">
        <v>102</v>
      </c>
      <c r="E11" s="0" t="s">
        <v>117</v>
      </c>
    </row>
    <row r="12">
      <c r="A12" s="0" t="s">
        <v>43</v>
      </c>
      <c r="B12" s="0" t="s">
        <v>63</v>
      </c>
      <c r="C12" s="0" t="s">
        <v>83</v>
      </c>
      <c r="D12" s="0" t="s">
        <v>101</v>
      </c>
      <c r="E12" s="0" t="s">
        <v>114</v>
      </c>
    </row>
    <row r="13">
      <c r="A13" s="0" t="s">
        <v>44</v>
      </c>
      <c r="B13" s="0" t="s">
        <v>64</v>
      </c>
      <c r="C13" s="0" t="s">
        <v>84</v>
      </c>
      <c r="D13" s="0" t="s">
        <v>103</v>
      </c>
      <c r="E13" s="0" t="s">
        <v>112</v>
      </c>
    </row>
    <row r="14">
      <c r="A14" s="0" t="s">
        <v>45</v>
      </c>
      <c r="B14" s="0" t="s">
        <v>65</v>
      </c>
      <c r="C14" s="0" t="s">
        <v>85</v>
      </c>
      <c r="D14" s="0" t="s">
        <v>104</v>
      </c>
      <c r="E14" s="0" t="s">
        <v>113</v>
      </c>
    </row>
    <row r="15">
      <c r="A15" s="0" t="s">
        <v>46</v>
      </c>
      <c r="B15" s="0" t="s">
        <v>66</v>
      </c>
      <c r="C15" s="0" t="s">
        <v>86</v>
      </c>
      <c r="D15" s="0" t="s">
        <v>105</v>
      </c>
      <c r="E15" s="0"/>
    </row>
    <row r="16">
      <c r="A16" s="0" t="s">
        <v>47</v>
      </c>
      <c r="B16" s="0" t="s">
        <v>67</v>
      </c>
      <c r="C16" s="0" t="s">
        <v>87</v>
      </c>
      <c r="D16" s="0" t="s">
        <v>106</v>
      </c>
      <c r="E16" s="0"/>
    </row>
    <row r="17">
      <c r="A17" s="0" t="s">
        <v>48</v>
      </c>
      <c r="B17" s="0" t="s">
        <v>68</v>
      </c>
      <c r="C17" s="0" t="s">
        <v>88</v>
      </c>
      <c r="D17" s="0" t="s">
        <v>107</v>
      </c>
      <c r="E17" s="0"/>
    </row>
    <row r="18">
      <c r="A18" s="0" t="s">
        <v>49</v>
      </c>
      <c r="B18" s="0" t="s">
        <v>69</v>
      </c>
      <c r="C18" s="0" t="s">
        <v>89</v>
      </c>
      <c r="D18" s="0" t="s">
        <v>105</v>
      </c>
      <c r="E18" s="0"/>
    </row>
    <row r="19">
      <c r="A19" s="0" t="s">
        <v>50</v>
      </c>
      <c r="B19" s="0" t="s">
        <v>70</v>
      </c>
      <c r="C19" s="0" t="s">
        <v>90</v>
      </c>
      <c r="D19" s="0" t="s">
        <v>108</v>
      </c>
      <c r="E19" s="0"/>
    </row>
    <row r="20">
      <c r="A20" s="0" t="s">
        <v>51</v>
      </c>
      <c r="B20" s="0" t="s">
        <v>71</v>
      </c>
      <c r="C20" s="0" t="s">
        <v>91</v>
      </c>
      <c r="D20" s="0" t="s">
        <v>109</v>
      </c>
      <c r="E20" s="0"/>
    </row>
    <row r="21">
      <c r="A21" s="0" t="s">
        <v>145</v>
      </c>
      <c r="B21" s="0" t="s">
        <v>176</v>
      </c>
      <c r="C21" s="0" t="s">
        <v>172</v>
      </c>
      <c r="D21" s="0" t="s">
        <v>183</v>
      </c>
      <c r="E21" s="0"/>
    </row>
    <row r="22">
      <c r="A22" s="0" t="s">
        <v>146</v>
      </c>
      <c r="B22" s="0" t="s">
        <v>177</v>
      </c>
      <c r="C22" s="0" t="s">
        <v>180</v>
      </c>
      <c r="D22" s="0" t="s">
        <v>184</v>
      </c>
      <c r="E22" s="0"/>
    </row>
    <row r="23">
      <c r="A23" s="0" t="s">
        <v>174</v>
      </c>
      <c r="B23" s="0" t="s">
        <v>178</v>
      </c>
      <c r="C23" s="0" t="s">
        <v>181</v>
      </c>
      <c r="D23" s="0" t="s">
        <v>172</v>
      </c>
      <c r="E23" s="0"/>
    </row>
    <row r="24">
      <c r="A24" s="0" t="s">
        <v>200</v>
      </c>
      <c r="B24" s="0" t="s">
        <v>204</v>
      </c>
      <c r="C24" s="0" t="s">
        <v>208</v>
      </c>
      <c r="D24" s="0" t="s">
        <v>212</v>
      </c>
      <c r="E24" s="0"/>
    </row>
    <row r="25">
      <c r="A25" s="0" t="s">
        <v>201</v>
      </c>
      <c r="B25" s="0" t="s">
        <v>205</v>
      </c>
      <c r="C25" s="0" t="s">
        <v>209</v>
      </c>
      <c r="D25" s="0" t="s">
        <v>213</v>
      </c>
      <c r="E25" s="0"/>
    </row>
    <row r="26">
      <c r="A26" s="0" t="s">
        <v>202</v>
      </c>
      <c r="B26" s="0" t="s">
        <v>206</v>
      </c>
      <c r="C26" s="0" t="s">
        <v>210</v>
      </c>
      <c r="D26" s="0" t="s">
        <v>214</v>
      </c>
      <c r="E26" s="0"/>
    </row>
    <row r="27">
      <c r="A27" s="0" t="s">
        <v>203</v>
      </c>
      <c r="B27" s="0" t="s">
        <v>207</v>
      </c>
      <c r="C27" s="0" t="s">
        <v>211</v>
      </c>
      <c r="D27" s="0" t="s">
        <v>215</v>
      </c>
      <c r="E27" s="0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K106"/>
  <sheetViews>
    <sheetView workbookViewId="0"/>
  </sheetViews>
  <sheetFormatPr defaultRowHeight="15"/>
  <cols>
    <col min="1" max="1" width="5.875" customWidth="true"/>
    <col min="2" max="2" width="9.125" customWidth="true"/>
    <col min="3" max="3" width="5.125" customWidth="true"/>
    <col min="4" max="4" width="24.125" customWidth="true"/>
    <col min="5" max="5" width="20.75" customWidth="true"/>
    <col min="6" max="6" width="26.125" customWidth="true"/>
    <col min="7" max="7" width="28.75" customWidth="true"/>
    <col min="8" max="8" width="11.625" customWidth="true"/>
    <col min="9" max="9" width="11.625" customWidth="true"/>
    <col min="10" max="10" width="15.125" customWidth="true"/>
    <col min="11" max="11" width="15.125" customWidth="true"/>
  </cols>
  <sheetData>
    <row r="1">
      <c r="A1" s="0" t="s">
        <v>118</v>
      </c>
      <c r="B1" s="0" t="s">
        <v>124</v>
      </c>
      <c r="C1" s="0" t="s">
        <v>128</v>
      </c>
      <c r="D1" s="0" t="s">
        <v>129</v>
      </c>
      <c r="E1" s="0" t="s">
        <v>130</v>
      </c>
      <c r="F1" s="0" t="s">
        <v>131</v>
      </c>
      <c r="G1" s="0" t="s">
        <v>132</v>
      </c>
      <c r="H1" s="0" t="s">
        <v>133</v>
      </c>
      <c r="I1" s="0" t="s">
        <v>134</v>
      </c>
      <c r="J1" s="0" t="s">
        <v>135</v>
      </c>
      <c r="K1" s="0" t="s">
        <v>136</v>
      </c>
    </row>
    <row r="2">
      <c r="A2" s="0" t="s">
        <v>119</v>
      </c>
      <c r="B2" s="0" t="s">
        <v>125</v>
      </c>
      <c r="C2" s="0">
        <v>2024</v>
      </c>
      <c r="D2" s="0">
        <v>4806.4543548615857</v>
      </c>
      <c r="E2" s="0">
        <v>384.17447095166381</v>
      </c>
      <c r="F2" s="0">
        <v>10669.120344970781</v>
      </c>
      <c r="G2" s="0">
        <v>7.1015718870217137</v>
      </c>
      <c r="H2" s="0">
        <v>276.97755883984053</v>
      </c>
      <c r="I2" s="0">
        <v>7.5767525101095901</v>
      </c>
      <c r="J2" s="0">
        <v>4961.5969390718665</v>
      </c>
      <c r="K2" s="0">
        <v>0.63171428571428567</v>
      </c>
    </row>
    <row r="3">
      <c r="A3" s="0" t="s">
        <v>119</v>
      </c>
      <c r="B3" s="0" t="s">
        <v>125</v>
      </c>
      <c r="C3" s="0">
        <v>2025</v>
      </c>
      <c r="D3" s="0">
        <v>4813.5871756747028</v>
      </c>
      <c r="E3" s="0">
        <v>384.17447095166375</v>
      </c>
      <c r="F3" s="0">
        <v>10980.948670967859</v>
      </c>
      <c r="G3" s="0">
        <v>7.1015718870217137</v>
      </c>
      <c r="H3" s="0">
        <v>277.38859598918134</v>
      </c>
      <c r="I3" s="0">
        <v>7.7981996374573788</v>
      </c>
      <c r="J3" s="0">
        <v>4964.3826157080412</v>
      </c>
      <c r="K3" s="0">
        <v>0.64142857142857146</v>
      </c>
    </row>
    <row r="4">
      <c r="A4" s="0" t="s">
        <v>119</v>
      </c>
      <c r="B4" s="0" t="s">
        <v>125</v>
      </c>
      <c r="C4" s="0">
        <v>2026</v>
      </c>
      <c r="D4" s="0">
        <v>4820.466946387096</v>
      </c>
      <c r="E4" s="0">
        <v>384.17447095166381</v>
      </c>
      <c r="F4" s="0">
        <v>11273.548854276332</v>
      </c>
      <c r="G4" s="0">
        <v>7.1015718870217128</v>
      </c>
      <c r="H4" s="0">
        <v>277.78505083023674</v>
      </c>
      <c r="I4" s="0">
        <v>8.0059917610494633</v>
      </c>
      <c r="J4" s="0">
        <v>4964.8499786519487</v>
      </c>
      <c r="K4" s="0">
        <v>0.65114285714285713</v>
      </c>
    </row>
    <row r="5">
      <c r="A5" s="0" t="s">
        <v>119</v>
      </c>
      <c r="B5" s="0" t="s">
        <v>125</v>
      </c>
      <c r="C5" s="0">
        <v>2027</v>
      </c>
      <c r="D5" s="0">
        <v>4827.10193155039</v>
      </c>
      <c r="E5" s="0">
        <v>384.17447095166386</v>
      </c>
      <c r="F5" s="0">
        <v>11562.983320709014</v>
      </c>
      <c r="G5" s="0">
        <v>7.1015718870217146</v>
      </c>
      <c r="H5" s="0">
        <v>278.16739961746885</v>
      </c>
      <c r="I5" s="0">
        <v>8.2115357280448116</v>
      </c>
      <c r="J5" s="0">
        <v>4962.7729246100753</v>
      </c>
      <c r="K5" s="0">
        <v>0.66085714285714281</v>
      </c>
    </row>
    <row r="6">
      <c r="A6" s="0" t="s">
        <v>119</v>
      </c>
      <c r="B6" s="0" t="s">
        <v>125</v>
      </c>
      <c r="C6" s="0">
        <v>2028</v>
      </c>
      <c r="D6" s="0">
        <v>4833.5001777750495</v>
      </c>
      <c r="E6" s="0">
        <v>384.17447095166375</v>
      </c>
      <c r="F6" s="0">
        <v>11848.119367481104</v>
      </c>
      <c r="G6" s="0">
        <v>7.1015718870217128</v>
      </c>
      <c r="H6" s="0">
        <v>278.53610604622537</v>
      </c>
      <c r="I6" s="0">
        <v>8.4140271414181296</v>
      </c>
      <c r="J6" s="0">
        <v>4958.3727264234776</v>
      </c>
      <c r="K6" s="0">
        <v>0.67057142857142849</v>
      </c>
    </row>
    <row r="7">
      <c r="A7" s="0" t="s">
        <v>119</v>
      </c>
      <c r="B7" s="0" t="s">
        <v>125</v>
      </c>
      <c r="C7" s="0">
        <v>2029</v>
      </c>
      <c r="D7" s="0">
        <v>4839.669515552695</v>
      </c>
      <c r="E7" s="0">
        <v>384.17447095166381</v>
      </c>
      <c r="F7" s="0">
        <v>12128.307560666564</v>
      </c>
      <c r="G7" s="0">
        <v>7.1015718870217137</v>
      </c>
      <c r="H7" s="0">
        <v>278.89162135775274</v>
      </c>
      <c r="I7" s="0">
        <v>8.6130048009982563</v>
      </c>
      <c r="J7" s="0">
        <v>4951.8377986488385</v>
      </c>
      <c r="K7" s="0">
        <v>0.68028571428571427</v>
      </c>
    </row>
    <row r="8">
      <c r="A8" s="0" t="s">
        <v>119</v>
      </c>
      <c r="B8" s="0" t="s">
        <v>125</v>
      </c>
      <c r="C8" s="0">
        <v>2030</v>
      </c>
      <c r="D8" s="0">
        <v>4845.6175614096474</v>
      </c>
      <c r="E8" s="0">
        <v>384.17447095166381</v>
      </c>
      <c r="F8" s="0">
        <v>12403.213235664984</v>
      </c>
      <c r="G8" s="0">
        <v>7.1015718870217119</v>
      </c>
      <c r="H8" s="0">
        <v>279.23438446329641</v>
      </c>
      <c r="I8" s="0">
        <v>8.8082310423134054</v>
      </c>
      <c r="J8" s="0">
        <v>4943.3305587725963</v>
      </c>
      <c r="K8" s="0">
        <v>0.68999999999999995</v>
      </c>
    </row>
    <row r="9">
      <c r="A9" s="0" t="s">
        <v>119</v>
      </c>
      <c r="B9" s="0" t="s">
        <v>126</v>
      </c>
      <c r="C9" s="0">
        <v>2024</v>
      </c>
      <c r="D9" s="0">
        <v>4806.4543548615857</v>
      </c>
      <c r="E9" s="0">
        <v>383.27882359902435</v>
      </c>
      <c r="F9" s="0">
        <v>10669.120344970781</v>
      </c>
      <c r="G9" s="0">
        <v>6.1539147527150684</v>
      </c>
      <c r="H9" s="0">
        <v>276.33182562206338</v>
      </c>
      <c r="I9" s="0">
        <v>6.5656857089408165</v>
      </c>
      <c r="J9" s="0">
        <v>4961.5969390718665</v>
      </c>
      <c r="K9" s="0">
        <v>0.63171428571428567</v>
      </c>
    </row>
    <row r="10">
      <c r="A10" s="0" t="s">
        <v>119</v>
      </c>
      <c r="B10" s="0" t="s">
        <v>126</v>
      </c>
      <c r="C10" s="0">
        <v>2025</v>
      </c>
      <c r="D10" s="0">
        <v>4813.5871756747028</v>
      </c>
      <c r="E10" s="0">
        <v>379.94877650284349</v>
      </c>
      <c r="F10" s="0">
        <v>10980.948670967859</v>
      </c>
      <c r="G10" s="0">
        <v>5.4885024324179934</v>
      </c>
      <c r="H10" s="0">
        <v>274.33748369810718</v>
      </c>
      <c r="I10" s="0">
        <v>6.0268963490864227</v>
      </c>
      <c r="J10" s="0">
        <v>4964.3826157080412</v>
      </c>
      <c r="K10" s="0">
        <v>0.64142857142857146</v>
      </c>
    </row>
    <row r="11">
      <c r="A11" s="0" t="s">
        <v>119</v>
      </c>
      <c r="B11" s="0" t="s">
        <v>126</v>
      </c>
      <c r="C11" s="0">
        <v>2026</v>
      </c>
      <c r="D11" s="0">
        <v>4820.466946387096</v>
      </c>
      <c r="E11" s="0">
        <v>376.64766190431192</v>
      </c>
      <c r="F11" s="0">
        <v>11273.548854276332</v>
      </c>
      <c r="G11" s="0">
        <v>4.8950400129231344</v>
      </c>
      <c r="H11" s="0">
        <v>272.34264069655768</v>
      </c>
      <c r="I11" s="0">
        <v>5.518447272932641</v>
      </c>
      <c r="J11" s="0">
        <v>4964.8499786519487</v>
      </c>
      <c r="K11" s="0">
        <v>0.65114285714285713</v>
      </c>
    </row>
    <row r="12">
      <c r="A12" s="0" t="s">
        <v>119</v>
      </c>
      <c r="B12" s="0" t="s">
        <v>126</v>
      </c>
      <c r="C12" s="0">
        <v>2027</v>
      </c>
      <c r="D12" s="0">
        <v>4827.10193155039</v>
      </c>
      <c r="E12" s="0">
        <v>373.37522842878059</v>
      </c>
      <c r="F12" s="0">
        <v>11562.983320709014</v>
      </c>
      <c r="G12" s="0">
        <v>4.3657476740084391</v>
      </c>
      <c r="H12" s="0">
        <v>270.34804295124519</v>
      </c>
      <c r="I12" s="0">
        <v>5.0481067536983755</v>
      </c>
      <c r="J12" s="0">
        <v>4962.7729246100753</v>
      </c>
      <c r="K12" s="0">
        <v>0.66085714285714281</v>
      </c>
    </row>
    <row r="13">
      <c r="A13" s="0" t="s">
        <v>119</v>
      </c>
      <c r="B13" s="0" t="s">
        <v>126</v>
      </c>
      <c r="C13" s="0">
        <v>2028</v>
      </c>
      <c r="D13" s="0">
        <v>4833.5001777750495</v>
      </c>
      <c r="E13" s="0">
        <v>370.1312268856222</v>
      </c>
      <c r="F13" s="0">
        <v>11848.119367481104</v>
      </c>
      <c r="G13" s="0">
        <v>3.8936868141611636</v>
      </c>
      <c r="H13" s="0">
        <v>268.35440264276286</v>
      </c>
      <c r="I13" s="0">
        <v>4.6132866153768681</v>
      </c>
      <c r="J13" s="0">
        <v>4958.3727264234776</v>
      </c>
      <c r="K13" s="0">
        <v>0.67057142857142849</v>
      </c>
    </row>
    <row r="14">
      <c r="A14" s="0" t="s">
        <v>119</v>
      </c>
      <c r="B14" s="0" t="s">
        <v>126</v>
      </c>
      <c r="C14" s="0">
        <v>2029</v>
      </c>
      <c r="D14" s="0">
        <v>4839.669515552695</v>
      </c>
      <c r="E14" s="0">
        <v>366.91541024925698</v>
      </c>
      <c r="F14" s="0">
        <v>12128.307560666564</v>
      </c>
      <c r="G14" s="0">
        <v>3.4726690910316687</v>
      </c>
      <c r="H14" s="0">
        <v>266.36239886547594</v>
      </c>
      <c r="I14" s="0">
        <v>4.2117598792452471</v>
      </c>
      <c r="J14" s="0">
        <v>4951.8377986488385</v>
      </c>
      <c r="K14" s="0">
        <v>0.68028571428571427</v>
      </c>
    </row>
    <row r="15">
      <c r="A15" s="0" t="s">
        <v>119</v>
      </c>
      <c r="B15" s="0" t="s">
        <v>126</v>
      </c>
      <c r="C15" s="0">
        <v>2030</v>
      </c>
      <c r="D15" s="0">
        <v>4845.6175614096474</v>
      </c>
      <c r="E15" s="0">
        <v>363.72753364033997</v>
      </c>
      <c r="F15" s="0">
        <v>12403.213235664984</v>
      </c>
      <c r="G15" s="0">
        <v>3.0971752971880306</v>
      </c>
      <c r="H15" s="0">
        <v>264.37267868637747</v>
      </c>
      <c r="I15" s="0">
        <v>3.8414925639257214</v>
      </c>
      <c r="J15" s="0">
        <v>4943.3305587725963</v>
      </c>
      <c r="K15" s="0">
        <v>0.68999999999999995</v>
      </c>
    </row>
    <row r="16">
      <c r="A16" s="0" t="s">
        <v>119</v>
      </c>
      <c r="B16" s="0" t="s">
        <v>127</v>
      </c>
      <c r="C16" s="0">
        <v>2024</v>
      </c>
      <c r="D16" s="0">
        <v>4806.4543548615857</v>
      </c>
      <c r="E16" s="0">
        <v>380.69246928527497</v>
      </c>
      <c r="F16" s="0">
        <v>10669.120344970781</v>
      </c>
      <c r="G16" s="0">
        <v>6.1539147527150684</v>
      </c>
      <c r="H16" s="0">
        <v>274.46714652888301</v>
      </c>
      <c r="I16" s="0">
        <v>6.5656857089408165</v>
      </c>
      <c r="J16" s="0">
        <v>4961.5969390718665</v>
      </c>
      <c r="K16" s="0">
        <v>0.63171428571428567</v>
      </c>
    </row>
    <row r="17">
      <c r="A17" s="0" t="s">
        <v>119</v>
      </c>
      <c r="B17" s="0" t="s">
        <v>127</v>
      </c>
      <c r="C17" s="0">
        <v>2025</v>
      </c>
      <c r="D17" s="0">
        <v>4813.5871756747028</v>
      </c>
      <c r="E17" s="0">
        <v>374.92697086402796</v>
      </c>
      <c r="F17" s="0">
        <v>10980.948670967859</v>
      </c>
      <c r="G17" s="0">
        <v>5.4885024324179934</v>
      </c>
      <c r="H17" s="0">
        <v>270.71154881484716</v>
      </c>
      <c r="I17" s="0">
        <v>6.0268963490864227</v>
      </c>
      <c r="J17" s="0">
        <v>4964.3826157080412</v>
      </c>
      <c r="K17" s="0">
        <v>0.64142857142857146</v>
      </c>
    </row>
    <row r="18">
      <c r="A18" s="0" t="s">
        <v>119</v>
      </c>
      <c r="B18" s="0" t="s">
        <v>127</v>
      </c>
      <c r="C18" s="0">
        <v>2026</v>
      </c>
      <c r="D18" s="0">
        <v>4820.466946387096</v>
      </c>
      <c r="E18" s="0">
        <v>369.33350135574494</v>
      </c>
      <c r="F18" s="0">
        <v>11273.548854276332</v>
      </c>
      <c r="G18" s="0">
        <v>4.8950400129231344</v>
      </c>
      <c r="H18" s="0">
        <v>267.05399032181731</v>
      </c>
      <c r="I18" s="0">
        <v>5.518447272932641</v>
      </c>
      <c r="J18" s="0">
        <v>4964.8499786519487</v>
      </c>
      <c r="K18" s="0">
        <v>0.65114285714285713</v>
      </c>
    </row>
    <row r="19">
      <c r="A19" s="0" t="s">
        <v>119</v>
      </c>
      <c r="B19" s="0" t="s">
        <v>127</v>
      </c>
      <c r="C19" s="0">
        <v>2027</v>
      </c>
      <c r="D19" s="0">
        <v>4827.10193155039</v>
      </c>
      <c r="E19" s="0">
        <v>363.90447453080105</v>
      </c>
      <c r="F19" s="0">
        <v>11562.983320709014</v>
      </c>
      <c r="G19" s="0">
        <v>4.3657476740084391</v>
      </c>
      <c r="H19" s="0">
        <v>263.49059878611888</v>
      </c>
      <c r="I19" s="0">
        <v>5.0481067536983755</v>
      </c>
      <c r="J19" s="0">
        <v>4962.7729246100753</v>
      </c>
      <c r="K19" s="0">
        <v>0.66085714285714281</v>
      </c>
    </row>
    <row r="20">
      <c r="A20" s="0" t="s">
        <v>119</v>
      </c>
      <c r="B20" s="0" t="s">
        <v>127</v>
      </c>
      <c r="C20" s="0">
        <v>2028</v>
      </c>
      <c r="D20" s="0">
        <v>4833.5001777750495</v>
      </c>
      <c r="E20" s="0">
        <v>358.63274375361857</v>
      </c>
      <c r="F20" s="0">
        <v>11848.119367481104</v>
      </c>
      <c r="G20" s="0">
        <v>3.8936868141611636</v>
      </c>
      <c r="H20" s="0">
        <v>260.01771460336039</v>
      </c>
      <c r="I20" s="0">
        <v>4.6132866153768681</v>
      </c>
      <c r="J20" s="0">
        <v>4958.3727264234776</v>
      </c>
      <c r="K20" s="0">
        <v>0.67057142857142849</v>
      </c>
    </row>
    <row r="21">
      <c r="A21" s="0" t="s">
        <v>119</v>
      </c>
      <c r="B21" s="0" t="s">
        <v>127</v>
      </c>
      <c r="C21" s="0">
        <v>2029</v>
      </c>
      <c r="D21" s="0">
        <v>4839.669515552695</v>
      </c>
      <c r="E21" s="0">
        <v>353.51157059627997</v>
      </c>
      <c r="F21" s="0">
        <v>12128.307560666564</v>
      </c>
      <c r="G21" s="0">
        <v>3.4726690910316687</v>
      </c>
      <c r="H21" s="0">
        <v>256.63187574149555</v>
      </c>
      <c r="I21" s="0">
        <v>4.2117598792452471</v>
      </c>
      <c r="J21" s="0">
        <v>4951.8377986488385</v>
      </c>
      <c r="K21" s="0">
        <v>0.68028571428571427</v>
      </c>
    </row>
    <row r="22">
      <c r="A22" s="0" t="s">
        <v>119</v>
      </c>
      <c r="B22" s="0" t="s">
        <v>127</v>
      </c>
      <c r="C22" s="0">
        <v>2030</v>
      </c>
      <c r="D22" s="0">
        <v>4845.6175614096474</v>
      </c>
      <c r="E22" s="0">
        <v>348.53459610341315</v>
      </c>
      <c r="F22" s="0">
        <v>12403.213235664984</v>
      </c>
      <c r="G22" s="0">
        <v>3.0971752971880306</v>
      </c>
      <c r="H22" s="0">
        <v>253.32980394562759</v>
      </c>
      <c r="I22" s="0">
        <v>3.8414925639257214</v>
      </c>
      <c r="J22" s="0">
        <v>4943.3305587725963</v>
      </c>
      <c r="K22" s="0">
        <v>0.68999999999999995</v>
      </c>
    </row>
    <row r="23">
      <c r="A23" s="0" t="s">
        <v>120</v>
      </c>
      <c r="B23" s="0" t="s">
        <v>125</v>
      </c>
      <c r="C23" s="0">
        <v>2024</v>
      </c>
      <c r="D23" s="0">
        <v>4807.2596486977391</v>
      </c>
      <c r="E23" s="0">
        <v>384.17447095166381</v>
      </c>
      <c r="F23" s="0">
        <v>10654.851629344428</v>
      </c>
      <c r="G23" s="0">
        <v>7.1015718870217119</v>
      </c>
      <c r="H23" s="0">
        <v>277.02396483986024</v>
      </c>
      <c r="I23" s="0">
        <v>7.5666194791339878</v>
      </c>
      <c r="J23" s="0">
        <v>4961.824116518801</v>
      </c>
      <c r="K23" s="0">
        <v>0.63171428571428567</v>
      </c>
    </row>
    <row r="24">
      <c r="A24" s="0" t="s">
        <v>120</v>
      </c>
      <c r="B24" s="0" t="s">
        <v>125</v>
      </c>
      <c r="C24" s="0">
        <v>2025</v>
      </c>
      <c r="D24" s="0">
        <v>4815.137587735042</v>
      </c>
      <c r="E24" s="0">
        <v>384.17447095166375</v>
      </c>
      <c r="F24" s="0">
        <v>10951.715306495595</v>
      </c>
      <c r="G24" s="0">
        <v>7.1015718870217137</v>
      </c>
      <c r="H24" s="0">
        <v>277.47794029913706</v>
      </c>
      <c r="I24" s="0">
        <v>7.7774393535274502</v>
      </c>
      <c r="J24" s="0">
        <v>4965.3421191658026</v>
      </c>
      <c r="K24" s="0">
        <v>0.64142857142857146</v>
      </c>
    </row>
    <row r="25">
      <c r="A25" s="0" t="s">
        <v>120</v>
      </c>
      <c r="B25" s="0" t="s">
        <v>125</v>
      </c>
      <c r="C25" s="0">
        <v>2026</v>
      </c>
      <c r="D25" s="0">
        <v>4822.7054046706789</v>
      </c>
      <c r="E25" s="0">
        <v>384.17447095166381</v>
      </c>
      <c r="F25" s="0">
        <v>11228.830076099021</v>
      </c>
      <c r="G25" s="0">
        <v>7.1015718870217128</v>
      </c>
      <c r="H25" s="0">
        <v>277.91404460926316</v>
      </c>
      <c r="I25" s="0">
        <v>7.9742343992568685</v>
      </c>
      <c r="J25" s="0">
        <v>4967.0775544139915</v>
      </c>
      <c r="K25" s="0">
        <v>0.65114285714285713</v>
      </c>
    </row>
    <row r="26">
      <c r="A26" s="0" t="s">
        <v>120</v>
      </c>
      <c r="B26" s="0" t="s">
        <v>125</v>
      </c>
      <c r="C26" s="0">
        <v>2027</v>
      </c>
      <c r="D26" s="0">
        <v>4829.9743531342046</v>
      </c>
      <c r="E26" s="0">
        <v>384.17447095166381</v>
      </c>
      <c r="F26" s="0">
        <v>11502.357593500228</v>
      </c>
      <c r="G26" s="0">
        <v>7.1015718870217128</v>
      </c>
      <c r="H26" s="0">
        <v>278.33292627381564</v>
      </c>
      <c r="I26" s="0">
        <v>8.1684819320471949</v>
      </c>
      <c r="J26" s="0">
        <v>4966.8360737222874</v>
      </c>
      <c r="K26" s="0">
        <v>0.66085714285714281</v>
      </c>
    </row>
    <row r="27">
      <c r="A27" s="0" t="s">
        <v>120</v>
      </c>
      <c r="B27" s="0" t="s">
        <v>125</v>
      </c>
      <c r="C27" s="0">
        <v>2028</v>
      </c>
      <c r="D27" s="0">
        <v>4836.9553554659888</v>
      </c>
      <c r="E27" s="0">
        <v>384.17447095166375</v>
      </c>
      <c r="F27" s="0">
        <v>11771.285389167622</v>
      </c>
      <c r="G27" s="0">
        <v>7.1015718870217119</v>
      </c>
      <c r="H27" s="0">
        <v>278.73521470544443</v>
      </c>
      <c r="I27" s="0">
        <v>8.3594629393822224</v>
      </c>
      <c r="J27" s="0">
        <v>4964.8755355182457</v>
      </c>
      <c r="K27" s="0">
        <v>0.67057142857142849</v>
      </c>
    </row>
    <row r="28">
      <c r="A28" s="0" t="s">
        <v>120</v>
      </c>
      <c r="B28" s="0" t="s">
        <v>125</v>
      </c>
      <c r="C28" s="0">
        <v>2029</v>
      </c>
      <c r="D28" s="0">
        <v>4843.6590060256167</v>
      </c>
      <c r="E28" s="0">
        <v>384.17447095166381</v>
      </c>
      <c r="F28" s="0">
        <v>12035.083991282194</v>
      </c>
      <c r="G28" s="0">
        <v>7.101571887021711</v>
      </c>
      <c r="H28" s="0">
        <v>279.12152041652297</v>
      </c>
      <c r="I28" s="0">
        <v>8.5468014130434682</v>
      </c>
      <c r="J28" s="0">
        <v>4961.421981860155</v>
      </c>
      <c r="K28" s="0">
        <v>0.68028571428571427</v>
      </c>
    </row>
    <row r="29">
      <c r="A29" s="0" t="s">
        <v>120</v>
      </c>
      <c r="B29" s="0" t="s">
        <v>125</v>
      </c>
      <c r="C29" s="0">
        <v>2030</v>
      </c>
      <c r="D29" s="0">
        <v>4850.0955750948315</v>
      </c>
      <c r="E29" s="0">
        <v>384.17447095166381</v>
      </c>
      <c r="F29" s="0">
        <v>12293.535718208348</v>
      </c>
      <c r="G29" s="0">
        <v>7.1015718870217128</v>
      </c>
      <c r="H29" s="0">
        <v>279.49243524405938</v>
      </c>
      <c r="I29" s="0">
        <v>8.7303427648525691</v>
      </c>
      <c r="J29" s="0">
        <v>4956.675361145908</v>
      </c>
      <c r="K29" s="0">
        <v>0.68999999999999995</v>
      </c>
    </row>
    <row r="30">
      <c r="A30" s="0" t="s">
        <v>120</v>
      </c>
      <c r="B30" s="0" t="s">
        <v>126</v>
      </c>
      <c r="C30" s="0">
        <v>2024</v>
      </c>
      <c r="D30" s="0">
        <v>4807.2596486977391</v>
      </c>
      <c r="E30" s="0">
        <v>383.83666210292881</v>
      </c>
      <c r="F30" s="0">
        <v>10654.851629344428</v>
      </c>
      <c r="G30" s="0">
        <v>6.2724096122375288</v>
      </c>
      <c r="H30" s="0">
        <v>276.78037461273573</v>
      </c>
      <c r="I30" s="0">
        <v>6.6831593776864686</v>
      </c>
      <c r="J30" s="0">
        <v>4961.824116518801</v>
      </c>
      <c r="K30" s="0">
        <v>0.63171428571428567</v>
      </c>
    </row>
    <row r="31">
      <c r="A31" s="0" t="s">
        <v>120</v>
      </c>
      <c r="B31" s="0" t="s">
        <v>126</v>
      </c>
      <c r="C31" s="0">
        <v>2025</v>
      </c>
      <c r="D31" s="0">
        <v>4815.137587735042</v>
      </c>
      <c r="E31" s="0">
        <v>381.05556500276549</v>
      </c>
      <c r="F31" s="0">
        <v>10951.715306495595</v>
      </c>
      <c r="G31" s="0">
        <v>5.7019017889405408</v>
      </c>
      <c r="H31" s="0">
        <v>275.22524610906447</v>
      </c>
      <c r="I31" s="0">
        <v>6.2445605098074735</v>
      </c>
      <c r="J31" s="0">
        <v>4965.3421191658026</v>
      </c>
      <c r="K31" s="0">
        <v>0.64142857142857146</v>
      </c>
    </row>
    <row r="32">
      <c r="A32" s="0" t="s">
        <v>120</v>
      </c>
      <c r="B32" s="0" t="s">
        <v>126</v>
      </c>
      <c r="C32" s="0">
        <v>2026</v>
      </c>
      <c r="D32" s="0">
        <v>4822.7054046706789</v>
      </c>
      <c r="E32" s="0">
        <v>378.29461840369873</v>
      </c>
      <c r="F32" s="0">
        <v>11228.830076099021</v>
      </c>
      <c r="G32" s="0">
        <v>5.1832845781137689</v>
      </c>
      <c r="H32" s="0">
        <v>273.66052511000248</v>
      </c>
      <c r="I32" s="0">
        <v>5.8202221763704109</v>
      </c>
      <c r="J32" s="0">
        <v>4967.0775544139915</v>
      </c>
      <c r="K32" s="0">
        <v>0.65114285714285713</v>
      </c>
    </row>
    <row r="33">
      <c r="A33" s="0" t="s">
        <v>120</v>
      </c>
      <c r="B33" s="0" t="s">
        <v>126</v>
      </c>
      <c r="C33" s="0">
        <v>2027</v>
      </c>
      <c r="D33" s="0">
        <v>4829.9743531342046</v>
      </c>
      <c r="E33" s="0">
        <v>375.55367630482289</v>
      </c>
      <c r="F33" s="0">
        <v>11502.357593500228</v>
      </c>
      <c r="G33" s="0">
        <v>4.7118382624236723</v>
      </c>
      <c r="H33" s="0">
        <v>272.08719371663386</v>
      </c>
      <c r="I33" s="0">
        <v>5.4197248617133846</v>
      </c>
      <c r="J33" s="0">
        <v>4966.8360737222874</v>
      </c>
      <c r="K33" s="0">
        <v>0.66085714285714281</v>
      </c>
    </row>
    <row r="34">
      <c r="A34" s="0" t="s">
        <v>120</v>
      </c>
      <c r="B34" s="0" t="s">
        <v>126</v>
      </c>
      <c r="C34" s="0">
        <v>2028</v>
      </c>
      <c r="D34" s="0">
        <v>4836.9553554659888</v>
      </c>
      <c r="E34" s="0">
        <v>372.83259376308553</v>
      </c>
      <c r="F34" s="0">
        <v>11771.285389167622</v>
      </c>
      <c r="G34" s="0">
        <v>4.2832724070340307</v>
      </c>
      <c r="H34" s="0">
        <v>270.50619166419477</v>
      </c>
      <c r="I34" s="0">
        <v>5.041962190274452</v>
      </c>
      <c r="J34" s="0">
        <v>4964.8755355182457</v>
      </c>
      <c r="K34" s="0">
        <v>0.67057142857142849</v>
      </c>
    </row>
    <row r="35">
      <c r="A35" s="0" t="s">
        <v>120</v>
      </c>
      <c r="B35" s="0" t="s">
        <v>126</v>
      </c>
      <c r="C35" s="0">
        <v>2029</v>
      </c>
      <c r="D35" s="0">
        <v>4843.6590060256167</v>
      </c>
      <c r="E35" s="0">
        <v>370.13122688562231</v>
      </c>
      <c r="F35" s="0">
        <v>12035.083991282194</v>
      </c>
      <c r="G35" s="0">
        <v>3.8936868141611636</v>
      </c>
      <c r="H35" s="0">
        <v>268.91841757737831</v>
      </c>
      <c r="I35" s="0">
        <v>4.6860847844177584</v>
      </c>
      <c r="J35" s="0">
        <v>4961.421981860155</v>
      </c>
      <c r="K35" s="0">
        <v>0.68028571428571427</v>
      </c>
    </row>
    <row r="36">
      <c r="A36" s="0" t="s">
        <v>120</v>
      </c>
      <c r="B36" s="0" t="s">
        <v>126</v>
      </c>
      <c r="C36" s="0">
        <v>2030</v>
      </c>
      <c r="D36" s="0">
        <v>4850.0955750948315</v>
      </c>
      <c r="E36" s="0">
        <v>367.44943282214786</v>
      </c>
      <c r="F36" s="0">
        <v>12293.535718208348</v>
      </c>
      <c r="G36" s="0">
        <v>3.5395360290126079</v>
      </c>
      <c r="H36" s="0">
        <v>267.32473023027075</v>
      </c>
      <c r="I36" s="0">
        <v>4.3513412598551833</v>
      </c>
      <c r="J36" s="0">
        <v>4956.675361145908</v>
      </c>
      <c r="K36" s="0">
        <v>0.68999999999999995</v>
      </c>
    </row>
    <row r="37">
      <c r="A37" s="0" t="s">
        <v>120</v>
      </c>
      <c r="B37" s="0" t="s">
        <v>127</v>
      </c>
      <c r="C37" s="0">
        <v>2024</v>
      </c>
      <c r="D37" s="0">
        <v>4807.2596486977391</v>
      </c>
      <c r="E37" s="0">
        <v>380.69246928527485</v>
      </c>
      <c r="F37" s="0">
        <v>10654.851629344428</v>
      </c>
      <c r="G37" s="0">
        <v>6.2724096122375288</v>
      </c>
      <c r="H37" s="0">
        <v>274.51313192373078</v>
      </c>
      <c r="I37" s="0">
        <v>6.6831593776864686</v>
      </c>
      <c r="J37" s="0">
        <v>4961.824116518801</v>
      </c>
      <c r="K37" s="0">
        <v>0.63171428571428567</v>
      </c>
    </row>
    <row r="38">
      <c r="A38" s="0" t="s">
        <v>120</v>
      </c>
      <c r="B38" s="0" t="s">
        <v>127</v>
      </c>
      <c r="C38" s="0">
        <v>2025</v>
      </c>
      <c r="D38" s="0">
        <v>4815.137587735042</v>
      </c>
      <c r="E38" s="0">
        <v>374.92697086402785</v>
      </c>
      <c r="F38" s="0">
        <v>10951.715306495595</v>
      </c>
      <c r="G38" s="0">
        <v>5.7019017889405408</v>
      </c>
      <c r="H38" s="0">
        <v>270.79874250945323</v>
      </c>
      <c r="I38" s="0">
        <v>6.2445605098074735</v>
      </c>
      <c r="J38" s="0">
        <v>4965.3421191658026</v>
      </c>
      <c r="K38" s="0">
        <v>0.64142857142857146</v>
      </c>
    </row>
    <row r="39">
      <c r="A39" s="0" t="s">
        <v>120</v>
      </c>
      <c r="B39" s="0" t="s">
        <v>127</v>
      </c>
      <c r="C39" s="0">
        <v>2026</v>
      </c>
      <c r="D39" s="0">
        <v>4822.7054046706789</v>
      </c>
      <c r="E39" s="0">
        <v>369.33350135574483</v>
      </c>
      <c r="F39" s="0">
        <v>11228.830076099021</v>
      </c>
      <c r="G39" s="0">
        <v>5.1832845781137689</v>
      </c>
      <c r="H39" s="0">
        <v>267.17800096714444</v>
      </c>
      <c r="I39" s="0">
        <v>5.8202221763704109</v>
      </c>
      <c r="J39" s="0">
        <v>4967.0775544139915</v>
      </c>
      <c r="K39" s="0">
        <v>0.65114285714285713</v>
      </c>
    </row>
    <row r="40">
      <c r="A40" s="0" t="s">
        <v>120</v>
      </c>
      <c r="B40" s="0" t="s">
        <v>127</v>
      </c>
      <c r="C40" s="0">
        <v>2027</v>
      </c>
      <c r="D40" s="0">
        <v>4829.9743531342046</v>
      </c>
      <c r="E40" s="0">
        <v>363.90447453080105</v>
      </c>
      <c r="F40" s="0">
        <v>11502.357593500228</v>
      </c>
      <c r="G40" s="0">
        <v>4.7118382624236723</v>
      </c>
      <c r="H40" s="0">
        <v>263.64739184618224</v>
      </c>
      <c r="I40" s="0">
        <v>5.4197248617133846</v>
      </c>
      <c r="J40" s="0">
        <v>4966.8360737222874</v>
      </c>
      <c r="K40" s="0">
        <v>0.66085714285714281</v>
      </c>
    </row>
    <row r="41">
      <c r="A41" s="0" t="s">
        <v>120</v>
      </c>
      <c r="B41" s="0" t="s">
        <v>127</v>
      </c>
      <c r="C41" s="0">
        <v>2028</v>
      </c>
      <c r="D41" s="0">
        <v>4836.9553554659888</v>
      </c>
      <c r="E41" s="0">
        <v>358.63274375361857</v>
      </c>
      <c r="F41" s="0">
        <v>11771.285389167622</v>
      </c>
      <c r="G41" s="0">
        <v>4.2832724070340307</v>
      </c>
      <c r="H41" s="0">
        <v>260.20358558167902</v>
      </c>
      <c r="I41" s="0">
        <v>5.041962190274452</v>
      </c>
      <c r="J41" s="0">
        <v>4964.8755355182457</v>
      </c>
      <c r="K41" s="0">
        <v>0.67057142857142849</v>
      </c>
    </row>
    <row r="42">
      <c r="A42" s="0" t="s">
        <v>120</v>
      </c>
      <c r="B42" s="0" t="s">
        <v>127</v>
      </c>
      <c r="C42" s="0">
        <v>2029</v>
      </c>
      <c r="D42" s="0">
        <v>4843.6590060256167</v>
      </c>
      <c r="E42" s="0">
        <v>353.51157059627985</v>
      </c>
      <c r="F42" s="0">
        <v>12035.083991282194</v>
      </c>
      <c r="G42" s="0">
        <v>3.8936868141611636</v>
      </c>
      <c r="H42" s="0">
        <v>256.84342539793977</v>
      </c>
      <c r="I42" s="0">
        <v>4.6860847844177584</v>
      </c>
      <c r="J42" s="0">
        <v>4961.421981860155</v>
      </c>
      <c r="K42" s="0">
        <v>0.68028571428571427</v>
      </c>
    </row>
    <row r="43">
      <c r="A43" s="0" t="s">
        <v>120</v>
      </c>
      <c r="B43" s="0" t="s">
        <v>127</v>
      </c>
      <c r="C43" s="0">
        <v>2030</v>
      </c>
      <c r="D43" s="0">
        <v>4850.0955750948315</v>
      </c>
      <c r="E43" s="0">
        <v>348.53459610341315</v>
      </c>
      <c r="F43" s="0">
        <v>12293.535718208348</v>
      </c>
      <c r="G43" s="0">
        <v>3.5395360290126079</v>
      </c>
      <c r="H43" s="0">
        <v>253.56391534929423</v>
      </c>
      <c r="I43" s="0">
        <v>4.3513412598551833</v>
      </c>
      <c r="J43" s="0">
        <v>4956.675361145908</v>
      </c>
      <c r="K43" s="0">
        <v>0.68999999999999995</v>
      </c>
    </row>
    <row r="44">
      <c r="A44" s="0" t="s">
        <v>121</v>
      </c>
      <c r="B44" s="0" t="s">
        <v>125</v>
      </c>
      <c r="C44" s="0">
        <v>2024</v>
      </c>
      <c r="D44" s="0">
        <v>4808.061725714434</v>
      </c>
      <c r="E44" s="0">
        <v>384.17447095166381</v>
      </c>
      <c r="F44" s="0">
        <v>10649.162690713305</v>
      </c>
      <c r="G44" s="0">
        <v>7.1015718870217128</v>
      </c>
      <c r="H44" s="0">
        <v>277.07018546689295</v>
      </c>
      <c r="I44" s="0">
        <v>7.5625794384690099</v>
      </c>
      <c r="J44" s="0">
        <v>4961.8976668142523</v>
      </c>
      <c r="K44" s="0">
        <v>0.63171428571428567</v>
      </c>
    </row>
    <row r="45">
      <c r="A45" s="0" t="s">
        <v>121</v>
      </c>
      <c r="B45" s="0" t="s">
        <v>125</v>
      </c>
      <c r="C45" s="0">
        <v>2025</v>
      </c>
      <c r="D45" s="0">
        <v>4816.675595980204</v>
      </c>
      <c r="E45" s="0">
        <v>384.17447095166381</v>
      </c>
      <c r="F45" s="0">
        <v>10937.754362969987</v>
      </c>
      <c r="G45" s="0">
        <v>7.1015718870217137</v>
      </c>
      <c r="H45" s="0">
        <v>277.56656982472271</v>
      </c>
      <c r="I45" s="0">
        <v>7.7675248891216748</v>
      </c>
      <c r="J45" s="0">
        <v>4961.245129436802</v>
      </c>
      <c r="K45" s="0">
        <v>0.64142857142857146</v>
      </c>
    </row>
    <row r="46">
      <c r="A46" s="0" t="s">
        <v>121</v>
      </c>
      <c r="B46" s="0" t="s">
        <v>125</v>
      </c>
      <c r="C46" s="0">
        <v>2026</v>
      </c>
      <c r="D46" s="0">
        <v>4824.9169670534147</v>
      </c>
      <c r="E46" s="0">
        <v>384.17447095166381</v>
      </c>
      <c r="F46" s="0">
        <v>11203.920409649671</v>
      </c>
      <c r="G46" s="0">
        <v>7.1015718870217128</v>
      </c>
      <c r="H46" s="0">
        <v>278.04148848051778</v>
      </c>
      <c r="I46" s="0">
        <v>7.956544620559689</v>
      </c>
      <c r="J46" s="0">
        <v>4959.4553715537713</v>
      </c>
      <c r="K46" s="0">
        <v>0.65114285714285713</v>
      </c>
    </row>
    <row r="47">
      <c r="A47" s="0" t="s">
        <v>121</v>
      </c>
      <c r="B47" s="0" t="s">
        <v>125</v>
      </c>
      <c r="C47" s="0">
        <v>2027</v>
      </c>
      <c r="D47" s="0">
        <v>4832.8007070111771</v>
      </c>
      <c r="E47" s="0">
        <v>384.17447095166381</v>
      </c>
      <c r="F47" s="0">
        <v>11463.725653073918</v>
      </c>
      <c r="G47" s="0">
        <v>7.1015718870217119</v>
      </c>
      <c r="H47" s="0">
        <v>278.49579822462687</v>
      </c>
      <c r="I47" s="0">
        <v>8.1410471818399355</v>
      </c>
      <c r="J47" s="0">
        <v>4956.3381108871517</v>
      </c>
      <c r="K47" s="0">
        <v>0.66085714285714281</v>
      </c>
    </row>
    <row r="48">
      <c r="A48" s="0" t="s">
        <v>121</v>
      </c>
      <c r="B48" s="0" t="s">
        <v>125</v>
      </c>
      <c r="C48" s="0">
        <v>2028</v>
      </c>
      <c r="D48" s="0">
        <v>4840.3412002786317</v>
      </c>
      <c r="E48" s="0">
        <v>384.17447095166386</v>
      </c>
      <c r="F48" s="0">
        <v>11716.088136896597</v>
      </c>
      <c r="G48" s="0">
        <v>7.1015718870217128</v>
      </c>
      <c r="H48" s="0">
        <v>278.93032797638773</v>
      </c>
      <c r="I48" s="0">
        <v>8.3202642138853466</v>
      </c>
      <c r="J48" s="0">
        <v>4952.1629005952391</v>
      </c>
      <c r="K48" s="0">
        <v>0.67057142857142849</v>
      </c>
    </row>
    <row r="49">
      <c r="A49" s="0" t="s">
        <v>121</v>
      </c>
      <c r="B49" s="0" t="s">
        <v>125</v>
      </c>
      <c r="C49" s="0">
        <v>2029</v>
      </c>
      <c r="D49" s="0">
        <v>4847.5523533003316</v>
      </c>
      <c r="E49" s="0">
        <v>384.17447095166375</v>
      </c>
      <c r="F49" s="0">
        <v>11960.43229598056</v>
      </c>
      <c r="G49" s="0">
        <v>7.1015718870217128</v>
      </c>
      <c r="H49" s="0">
        <v>279.34587911094712</v>
      </c>
      <c r="I49" s="0">
        <v>8.49378697497621</v>
      </c>
      <c r="J49" s="0">
        <v>4947.1718281996455</v>
      </c>
      <c r="K49" s="0">
        <v>0.68028571428571427</v>
      </c>
    </row>
    <row r="50">
      <c r="A50" s="0" t="s">
        <v>121</v>
      </c>
      <c r="B50" s="0" t="s">
        <v>125</v>
      </c>
      <c r="C50" s="0">
        <v>2030</v>
      </c>
      <c r="D50" s="0">
        <v>4854.4476012154419</v>
      </c>
      <c r="E50" s="0">
        <v>384.17447095166381</v>
      </c>
      <c r="F50" s="0">
        <v>12196.515676800944</v>
      </c>
      <c r="G50" s="0">
        <v>7.1015718870217128</v>
      </c>
      <c r="H50" s="0">
        <v>279.74322584392735</v>
      </c>
      <c r="I50" s="0">
        <v>8.6614432849989189</v>
      </c>
      <c r="J50" s="0">
        <v>4941.5845485528753</v>
      </c>
      <c r="K50" s="0">
        <v>0.68999999999999995</v>
      </c>
    </row>
    <row r="51">
      <c r="A51" s="0" t="s">
        <v>121</v>
      </c>
      <c r="B51" s="0" t="s">
        <v>126</v>
      </c>
      <c r="C51" s="0">
        <v>2024</v>
      </c>
      <c r="D51" s="0">
        <v>4808.061725714434</v>
      </c>
      <c r="E51" s="0">
        <v>384.39531250610173</v>
      </c>
      <c r="F51" s="0">
        <v>10649.162690713305</v>
      </c>
      <c r="G51" s="0">
        <v>6.3931861139824528</v>
      </c>
      <c r="H51" s="0">
        <v>277.22945844069397</v>
      </c>
      <c r="I51" s="0">
        <v>6.8082079039808319</v>
      </c>
      <c r="J51" s="0">
        <v>4961.8976668142523</v>
      </c>
      <c r="K51" s="0">
        <v>0.63171428571428567</v>
      </c>
    </row>
    <row r="52">
      <c r="A52" s="0" t="s">
        <v>121</v>
      </c>
      <c r="B52" s="0" t="s">
        <v>126</v>
      </c>
      <c r="C52" s="0">
        <v>2025</v>
      </c>
      <c r="D52" s="0">
        <v>4816.675595980204</v>
      </c>
      <c r="E52" s="0">
        <v>382.16557757092869</v>
      </c>
      <c r="F52" s="0">
        <v>10937.754362969987</v>
      </c>
      <c r="G52" s="0">
        <v>5.9235983605823268</v>
      </c>
      <c r="H52" s="0">
        <v>276.11514166643576</v>
      </c>
      <c r="I52" s="0">
        <v>6.4790863812941204</v>
      </c>
      <c r="J52" s="0">
        <v>4961.245129436802</v>
      </c>
      <c r="K52" s="0">
        <v>0.64142857142857146</v>
      </c>
    </row>
    <row r="53">
      <c r="A53" s="0" t="s">
        <v>121</v>
      </c>
      <c r="B53" s="0" t="s">
        <v>126</v>
      </c>
      <c r="C53" s="0">
        <v>2026</v>
      </c>
      <c r="D53" s="0">
        <v>4824.9169670534147</v>
      </c>
      <c r="E53" s="0">
        <v>379.94877650284349</v>
      </c>
      <c r="F53" s="0">
        <v>11203.920409649671</v>
      </c>
      <c r="G53" s="0">
        <v>5.4885024324179943</v>
      </c>
      <c r="H53" s="0">
        <v>274.98319475396329</v>
      </c>
      <c r="I53" s="0">
        <v>6.1492744420979824</v>
      </c>
      <c r="J53" s="0">
        <v>4959.4553715537713</v>
      </c>
      <c r="K53" s="0">
        <v>0.65114285714285713</v>
      </c>
    </row>
    <row r="54">
      <c r="A54" s="0" t="s">
        <v>121</v>
      </c>
      <c r="B54" s="0" t="s">
        <v>126</v>
      </c>
      <c r="C54" s="0">
        <v>2027</v>
      </c>
      <c r="D54" s="0">
        <v>4832.8007070111771</v>
      </c>
      <c r="E54" s="0">
        <v>377.74483427727017</v>
      </c>
      <c r="F54" s="0">
        <v>11463.725653073918</v>
      </c>
      <c r="G54" s="0">
        <v>5.0853648605063242</v>
      </c>
      <c r="H54" s="0">
        <v>273.83482532475165</v>
      </c>
      <c r="I54" s="0">
        <v>5.8297227606627011</v>
      </c>
      <c r="J54" s="0">
        <v>4956.3381108871517</v>
      </c>
      <c r="K54" s="0">
        <v>0.66085714285714281</v>
      </c>
    </row>
    <row r="55">
      <c r="A55" s="0" t="s">
        <v>121</v>
      </c>
      <c r="B55" s="0" t="s">
        <v>126</v>
      </c>
      <c r="C55" s="0">
        <v>2028</v>
      </c>
      <c r="D55" s="0">
        <v>4840.3412002786317</v>
      </c>
      <c r="E55" s="0">
        <v>375.55367630482277</v>
      </c>
      <c r="F55" s="0">
        <v>11716.088136896597</v>
      </c>
      <c r="G55" s="0">
        <v>4.7118382624236723</v>
      </c>
      <c r="H55" s="0">
        <v>272.67118985015077</v>
      </c>
      <c r="I55" s="0">
        <v>5.520431236935746</v>
      </c>
      <c r="J55" s="0">
        <v>4952.1629005952391</v>
      </c>
      <c r="K55" s="0">
        <v>0.67057142857142849</v>
      </c>
    </row>
    <row r="56">
      <c r="A56" s="0" t="s">
        <v>121</v>
      </c>
      <c r="B56" s="0" t="s">
        <v>126</v>
      </c>
      <c r="C56" s="0">
        <v>2029</v>
      </c>
      <c r="D56" s="0">
        <v>4847.5523533003316</v>
      </c>
      <c r="E56" s="0">
        <v>373.37522842878053</v>
      </c>
      <c r="F56" s="0">
        <v>11960.43229598056</v>
      </c>
      <c r="G56" s="0">
        <v>4.3657476740084391</v>
      </c>
      <c r="H56" s="0">
        <v>271.49339508509757</v>
      </c>
      <c r="I56" s="0">
        <v>5.2216229476312543</v>
      </c>
      <c r="J56" s="0">
        <v>4947.1718281996455</v>
      </c>
      <c r="K56" s="0">
        <v>0.68028571428571427</v>
      </c>
    </row>
    <row r="57">
      <c r="A57" s="0" t="s">
        <v>121</v>
      </c>
      <c r="B57" s="0" t="s">
        <v>126</v>
      </c>
      <c r="C57" s="0">
        <v>2030</v>
      </c>
      <c r="D57" s="0">
        <v>4854.4476012154419</v>
      </c>
      <c r="E57" s="0">
        <v>371.2094169225785</v>
      </c>
      <c r="F57" s="0">
        <v>12196.515676800944</v>
      </c>
      <c r="G57" s="0">
        <v>4.0450778850176734</v>
      </c>
      <c r="H57" s="0">
        <v>270.30249952925908</v>
      </c>
      <c r="I57" s="0">
        <v>4.9335855838498857</v>
      </c>
      <c r="J57" s="0">
        <v>4941.5845485528753</v>
      </c>
      <c r="K57" s="0">
        <v>0.68999999999999995</v>
      </c>
    </row>
    <row r="58">
      <c r="A58" s="0" t="s">
        <v>121</v>
      </c>
      <c r="B58" s="0" t="s">
        <v>127</v>
      </c>
      <c r="C58" s="0">
        <v>2024</v>
      </c>
      <c r="D58" s="0">
        <v>4808.061725714434</v>
      </c>
      <c r="E58" s="0">
        <v>380.69246928527485</v>
      </c>
      <c r="F58" s="0">
        <v>10649.162690713305</v>
      </c>
      <c r="G58" s="0">
        <v>6.3931861139824528</v>
      </c>
      <c r="H58" s="0">
        <v>274.55893362573715</v>
      </c>
      <c r="I58" s="0">
        <v>6.8082079039808319</v>
      </c>
      <c r="J58" s="0">
        <v>4961.8976668142523</v>
      </c>
      <c r="K58" s="0">
        <v>0.63171428571428567</v>
      </c>
    </row>
    <row r="59">
      <c r="A59" s="0" t="s">
        <v>121</v>
      </c>
      <c r="B59" s="0" t="s">
        <v>127</v>
      </c>
      <c r="C59" s="0">
        <v>2025</v>
      </c>
      <c r="D59" s="0">
        <v>4816.675595980204</v>
      </c>
      <c r="E59" s="0">
        <v>374.92697086402796</v>
      </c>
      <c r="F59" s="0">
        <v>10937.754362969987</v>
      </c>
      <c r="G59" s="0">
        <v>5.9235983605823268</v>
      </c>
      <c r="H59" s="0">
        <v>270.88523862533162</v>
      </c>
      <c r="I59" s="0">
        <v>6.4790863812941204</v>
      </c>
      <c r="J59" s="0">
        <v>4961.245129436802</v>
      </c>
      <c r="K59" s="0">
        <v>0.64142857142857146</v>
      </c>
    </row>
    <row r="60">
      <c r="A60" s="0" t="s">
        <v>121</v>
      </c>
      <c r="B60" s="0" t="s">
        <v>127</v>
      </c>
      <c r="C60" s="0">
        <v>2026</v>
      </c>
      <c r="D60" s="0">
        <v>4824.9169670534147</v>
      </c>
      <c r="E60" s="0">
        <v>369.33350135574483</v>
      </c>
      <c r="F60" s="0">
        <v>11203.920409649671</v>
      </c>
      <c r="G60" s="0">
        <v>5.4885024324179943</v>
      </c>
      <c r="H60" s="0">
        <v>267.30052157888679</v>
      </c>
      <c r="I60" s="0">
        <v>6.1492744420979824</v>
      </c>
      <c r="J60" s="0">
        <v>4959.4553715537713</v>
      </c>
      <c r="K60" s="0">
        <v>0.65114285714285713</v>
      </c>
    </row>
    <row r="61">
      <c r="A61" s="0" t="s">
        <v>121</v>
      </c>
      <c r="B61" s="0" t="s">
        <v>127</v>
      </c>
      <c r="C61" s="0">
        <v>2027</v>
      </c>
      <c r="D61" s="0">
        <v>4832.8007070111771</v>
      </c>
      <c r="E61" s="0">
        <v>363.90447453080105</v>
      </c>
      <c r="F61" s="0">
        <v>11463.725653073918</v>
      </c>
      <c r="G61" s="0">
        <v>5.0853648605063242</v>
      </c>
      <c r="H61" s="0">
        <v>263.80167026954791</v>
      </c>
      <c r="I61" s="0">
        <v>5.8297227606627011</v>
      </c>
      <c r="J61" s="0">
        <v>4956.3381108871517</v>
      </c>
      <c r="K61" s="0">
        <v>0.66085714285714281</v>
      </c>
    </row>
    <row r="62">
      <c r="A62" s="0" t="s">
        <v>121</v>
      </c>
      <c r="B62" s="0" t="s">
        <v>127</v>
      </c>
      <c r="C62" s="0">
        <v>2028</v>
      </c>
      <c r="D62" s="0">
        <v>4840.3412002786317</v>
      </c>
      <c r="E62" s="0">
        <v>358.63274375361857</v>
      </c>
      <c r="F62" s="0">
        <v>11716.088136896597</v>
      </c>
      <c r="G62" s="0">
        <v>4.7118382624236723</v>
      </c>
      <c r="H62" s="0">
        <v>260.38572680394134</v>
      </c>
      <c r="I62" s="0">
        <v>5.520431236935746</v>
      </c>
      <c r="J62" s="0">
        <v>4952.1629005952391</v>
      </c>
      <c r="K62" s="0">
        <v>0.67057142857142849</v>
      </c>
    </row>
    <row r="63">
      <c r="A63" s="0" t="s">
        <v>121</v>
      </c>
      <c r="B63" s="0" t="s">
        <v>127</v>
      </c>
      <c r="C63" s="0">
        <v>2029</v>
      </c>
      <c r="D63" s="0">
        <v>4847.5523533003316</v>
      </c>
      <c r="E63" s="0">
        <v>353.51157059627997</v>
      </c>
      <c r="F63" s="0">
        <v>11960.43229598056</v>
      </c>
      <c r="G63" s="0">
        <v>4.3657476740084391</v>
      </c>
      <c r="H63" s="0">
        <v>257.04987689443396</v>
      </c>
      <c r="I63" s="0">
        <v>5.2216229476312543</v>
      </c>
      <c r="J63" s="0">
        <v>4947.1718281996455</v>
      </c>
      <c r="K63" s="0">
        <v>0.68028571428571427</v>
      </c>
    </row>
    <row r="64">
      <c r="A64" s="0" t="s">
        <v>121</v>
      </c>
      <c r="B64" s="0" t="s">
        <v>127</v>
      </c>
      <c r="C64" s="0">
        <v>2030</v>
      </c>
      <c r="D64" s="0">
        <v>4854.4476012154419</v>
      </c>
      <c r="E64" s="0">
        <v>348.53459610341315</v>
      </c>
      <c r="F64" s="0">
        <v>12196.515676800944</v>
      </c>
      <c r="G64" s="0">
        <v>4.0450778850176734</v>
      </c>
      <c r="H64" s="0">
        <v>253.79144009922103</v>
      </c>
      <c r="I64" s="0">
        <v>4.9335855838498857</v>
      </c>
      <c r="J64" s="0">
        <v>4941.5845485528753</v>
      </c>
      <c r="K64" s="0">
        <v>0.68999999999999995</v>
      </c>
    </row>
    <row r="65">
      <c r="A65" s="0" t="s">
        <v>122</v>
      </c>
      <c r="B65" s="0" t="s">
        <v>125</v>
      </c>
      <c r="C65" s="0">
        <v>2024</v>
      </c>
      <c r="D65" s="0">
        <v>4807.2596486977391</v>
      </c>
      <c r="E65" s="0">
        <v>384.17447095166381</v>
      </c>
      <c r="F65" s="0">
        <v>10657.999901899919</v>
      </c>
      <c r="G65" s="0">
        <v>7.1015718870217128</v>
      </c>
      <c r="H65" s="0">
        <v>277.02396483986024</v>
      </c>
      <c r="I65" s="0">
        <v>7.568855247521264</v>
      </c>
      <c r="J65" s="0">
        <v>4961.406604485871</v>
      </c>
      <c r="K65" s="0">
        <v>0.63171428571428567</v>
      </c>
    </row>
    <row r="66">
      <c r="A66" s="0" t="s">
        <v>122</v>
      </c>
      <c r="B66" s="0" t="s">
        <v>125</v>
      </c>
      <c r="C66" s="0">
        <v>2025</v>
      </c>
      <c r="D66" s="0">
        <v>4815.137587735042</v>
      </c>
      <c r="E66" s="0">
        <v>384.17447095166375</v>
      </c>
      <c r="F66" s="0">
        <v>10958.415905674632</v>
      </c>
      <c r="G66" s="0">
        <v>7.1015718870217137</v>
      </c>
      <c r="H66" s="0">
        <v>277.47794029913706</v>
      </c>
      <c r="I66" s="0">
        <v>7.7821978322030558</v>
      </c>
      <c r="J66" s="0">
        <v>4963.6110478797518</v>
      </c>
      <c r="K66" s="0">
        <v>0.64142857142857146</v>
      </c>
    </row>
    <row r="67">
      <c r="A67" s="0" t="s">
        <v>122</v>
      </c>
      <c r="B67" s="0" t="s">
        <v>125</v>
      </c>
      <c r="C67" s="0">
        <v>2026</v>
      </c>
      <c r="D67" s="0">
        <v>4822.7054046706789</v>
      </c>
      <c r="E67" s="0">
        <v>384.17447095166381</v>
      </c>
      <c r="F67" s="0">
        <v>11239.435837856354</v>
      </c>
      <c r="G67" s="0">
        <v>7.1015718870217137</v>
      </c>
      <c r="H67" s="0">
        <v>277.91404460926316</v>
      </c>
      <c r="I67" s="0">
        <v>7.9817661572105019</v>
      </c>
      <c r="J67" s="0">
        <v>4963.1216510379372</v>
      </c>
      <c r="K67" s="0">
        <v>0.65114285714285713</v>
      </c>
    </row>
    <row r="68">
      <c r="A68" s="0" t="s">
        <v>122</v>
      </c>
      <c r="B68" s="0" t="s">
        <v>125</v>
      </c>
      <c r="C68" s="0">
        <v>2027</v>
      </c>
      <c r="D68" s="0">
        <v>4829.9743531342046</v>
      </c>
      <c r="E68" s="0">
        <v>384.17447095166381</v>
      </c>
      <c r="F68" s="0">
        <v>11517.178324585864</v>
      </c>
      <c r="G68" s="0">
        <v>7.1015718870217128</v>
      </c>
      <c r="H68" s="0">
        <v>278.33292627381564</v>
      </c>
      <c r="I68" s="0">
        <v>8.179006980769481</v>
      </c>
      <c r="J68" s="0">
        <v>4959.7216252327062</v>
      </c>
      <c r="K68" s="0">
        <v>0.66085714285714281</v>
      </c>
    </row>
    <row r="69">
      <c r="A69" s="0" t="s">
        <v>122</v>
      </c>
      <c r="B69" s="0" t="s">
        <v>125</v>
      </c>
      <c r="C69" s="0">
        <v>2028</v>
      </c>
      <c r="D69" s="0">
        <v>4836.9553554659888</v>
      </c>
      <c r="E69" s="0">
        <v>384.17447095166375</v>
      </c>
      <c r="F69" s="0">
        <v>11790.582474086703</v>
      </c>
      <c r="G69" s="0">
        <v>7.1015718870217128</v>
      </c>
      <c r="H69" s="0">
        <v>278.73521470544443</v>
      </c>
      <c r="I69" s="0">
        <v>8.3731669029585039</v>
      </c>
      <c r="J69" s="0">
        <v>4953.6510108132097</v>
      </c>
      <c r="K69" s="0">
        <v>0.67057142857142849</v>
      </c>
    </row>
    <row r="70">
      <c r="A70" s="0" t="s">
        <v>122</v>
      </c>
      <c r="B70" s="0" t="s">
        <v>125</v>
      </c>
      <c r="C70" s="0">
        <v>2029</v>
      </c>
      <c r="D70" s="0">
        <v>4843.6590060256167</v>
      </c>
      <c r="E70" s="0">
        <v>384.17447095166381</v>
      </c>
      <c r="F70" s="0">
        <v>12059.067313921241</v>
      </c>
      <c r="G70" s="0">
        <v>7.1015718870217128</v>
      </c>
      <c r="H70" s="0">
        <v>279.12152041652297</v>
      </c>
      <c r="I70" s="0">
        <v>8.5638333420245534</v>
      </c>
      <c r="J70" s="0">
        <v>4945.1188672135368</v>
      </c>
      <c r="K70" s="0">
        <v>0.68028571428571427</v>
      </c>
    </row>
    <row r="71">
      <c r="A71" s="0" t="s">
        <v>122</v>
      </c>
      <c r="B71" s="0" t="s">
        <v>125</v>
      </c>
      <c r="C71" s="0">
        <v>2030</v>
      </c>
      <c r="D71" s="0">
        <v>4850.0955750948315</v>
      </c>
      <c r="E71" s="0">
        <v>384.17447095166381</v>
      </c>
      <c r="F71" s="0">
        <v>12322.361028364183</v>
      </c>
      <c r="G71" s="0">
        <v>7.1015718870217128</v>
      </c>
      <c r="H71" s="0">
        <v>279.49243524405938</v>
      </c>
      <c r="I71" s="0">
        <v>8.7508132660763049</v>
      </c>
      <c r="J71" s="0">
        <v>4934.3089491566398</v>
      </c>
      <c r="K71" s="0">
        <v>0.68999999999999995</v>
      </c>
    </row>
    <row r="72">
      <c r="A72" s="0" t="s">
        <v>122</v>
      </c>
      <c r="B72" s="0" t="s">
        <v>126</v>
      </c>
      <c r="C72" s="0">
        <v>2024</v>
      </c>
      <c r="D72" s="0">
        <v>4807.2596486977391</v>
      </c>
      <c r="E72" s="0">
        <v>383.83666210292881</v>
      </c>
      <c r="F72" s="0">
        <v>10657.999901899919</v>
      </c>
      <c r="G72" s="0">
        <v>6.2724096122375279</v>
      </c>
      <c r="H72" s="0">
        <v>276.78037461273573</v>
      </c>
      <c r="I72" s="0">
        <v>6.6851341031903679</v>
      </c>
      <c r="J72" s="0">
        <v>4961.406604485871</v>
      </c>
      <c r="K72" s="0">
        <v>0.63171428571428567</v>
      </c>
    </row>
    <row r="73">
      <c r="A73" s="0" t="s">
        <v>122</v>
      </c>
      <c r="B73" s="0" t="s">
        <v>126</v>
      </c>
      <c r="C73" s="0">
        <v>2025</v>
      </c>
      <c r="D73" s="0">
        <v>4815.137587735042</v>
      </c>
      <c r="E73" s="0">
        <v>381.05556500276549</v>
      </c>
      <c r="F73" s="0">
        <v>10958.415905674632</v>
      </c>
      <c r="G73" s="0">
        <v>5.7019017889405408</v>
      </c>
      <c r="H73" s="0">
        <v>275.22524610906447</v>
      </c>
      <c r="I73" s="0">
        <v>6.2483811256520658</v>
      </c>
      <c r="J73" s="0">
        <v>4963.6110478797518</v>
      </c>
      <c r="K73" s="0">
        <v>0.64142857142857146</v>
      </c>
    </row>
    <row r="74">
      <c r="A74" s="0" t="s">
        <v>122</v>
      </c>
      <c r="B74" s="0" t="s">
        <v>126</v>
      </c>
      <c r="C74" s="0">
        <v>2026</v>
      </c>
      <c r="D74" s="0">
        <v>4822.7054046706789</v>
      </c>
      <c r="E74" s="0">
        <v>378.29461840369873</v>
      </c>
      <c r="F74" s="0">
        <v>11239.435837856354</v>
      </c>
      <c r="G74" s="0">
        <v>5.1832845781137689</v>
      </c>
      <c r="H74" s="0">
        <v>273.66052511000248</v>
      </c>
      <c r="I74" s="0">
        <v>5.8257194445060039</v>
      </c>
      <c r="J74" s="0">
        <v>4963.1216510379372</v>
      </c>
      <c r="K74" s="0">
        <v>0.65114285714285713</v>
      </c>
    </row>
    <row r="75">
      <c r="A75" s="0" t="s">
        <v>122</v>
      </c>
      <c r="B75" s="0" t="s">
        <v>126</v>
      </c>
      <c r="C75" s="0">
        <v>2027</v>
      </c>
      <c r="D75" s="0">
        <v>4829.9743531342046</v>
      </c>
      <c r="E75" s="0">
        <v>375.55367630482289</v>
      </c>
      <c r="F75" s="0">
        <v>11517.178324585864</v>
      </c>
      <c r="G75" s="0">
        <v>4.7118382624236723</v>
      </c>
      <c r="H75" s="0">
        <v>272.08719371663386</v>
      </c>
      <c r="I75" s="0">
        <v>5.426708150494024</v>
      </c>
      <c r="J75" s="0">
        <v>4959.7216252327062</v>
      </c>
      <c r="K75" s="0">
        <v>0.66085714285714281</v>
      </c>
    </row>
    <row r="76">
      <c r="A76" s="0" t="s">
        <v>122</v>
      </c>
      <c r="B76" s="0" t="s">
        <v>126</v>
      </c>
      <c r="C76" s="0">
        <v>2028</v>
      </c>
      <c r="D76" s="0">
        <v>4836.9553554659888</v>
      </c>
      <c r="E76" s="0">
        <v>372.83259376308553</v>
      </c>
      <c r="F76" s="0">
        <v>11790.582474086703</v>
      </c>
      <c r="G76" s="0">
        <v>4.2832724070340307</v>
      </c>
      <c r="H76" s="0">
        <v>270.50619166419477</v>
      </c>
      <c r="I76" s="0">
        <v>5.0502276574114608</v>
      </c>
      <c r="J76" s="0">
        <v>4953.6510108132097</v>
      </c>
      <c r="K76" s="0">
        <v>0.67057142857142849</v>
      </c>
    </row>
    <row r="77">
      <c r="A77" s="0" t="s">
        <v>122</v>
      </c>
      <c r="B77" s="0" t="s">
        <v>126</v>
      </c>
      <c r="C77" s="0">
        <v>2029</v>
      </c>
      <c r="D77" s="0">
        <v>4843.6590060256167</v>
      </c>
      <c r="E77" s="0">
        <v>370.13122688562231</v>
      </c>
      <c r="F77" s="0">
        <v>12059.067313921241</v>
      </c>
      <c r="G77" s="0">
        <v>3.8936868141611636</v>
      </c>
      <c r="H77" s="0">
        <v>268.91841757737831</v>
      </c>
      <c r="I77" s="0">
        <v>4.6954231391297023</v>
      </c>
      <c r="J77" s="0">
        <v>4945.1188672135368</v>
      </c>
      <c r="K77" s="0">
        <v>0.68028571428571427</v>
      </c>
    </row>
    <row r="78">
      <c r="A78" s="0" t="s">
        <v>122</v>
      </c>
      <c r="B78" s="0" t="s">
        <v>126</v>
      </c>
      <c r="C78" s="0">
        <v>2030</v>
      </c>
      <c r="D78" s="0">
        <v>4850.0955750948315</v>
      </c>
      <c r="E78" s="0">
        <v>367.44943282214786</v>
      </c>
      <c r="F78" s="0">
        <v>12322.361028364183</v>
      </c>
      <c r="G78" s="0">
        <v>3.5395360290126074</v>
      </c>
      <c r="H78" s="0">
        <v>267.32473023027075</v>
      </c>
      <c r="I78" s="0">
        <v>4.361544082239587</v>
      </c>
      <c r="J78" s="0">
        <v>4934.3089491566398</v>
      </c>
      <c r="K78" s="0">
        <v>0.68999999999999995</v>
      </c>
    </row>
    <row r="79">
      <c r="A79" s="0" t="s">
        <v>122</v>
      </c>
      <c r="B79" s="0" t="s">
        <v>127</v>
      </c>
      <c r="C79" s="0">
        <v>2024</v>
      </c>
      <c r="D79" s="0">
        <v>4807.2596486977391</v>
      </c>
      <c r="E79" s="0">
        <v>380.69246928527485</v>
      </c>
      <c r="F79" s="0">
        <v>10657.999901899919</v>
      </c>
      <c r="G79" s="0">
        <v>6.2724096122375279</v>
      </c>
      <c r="H79" s="0">
        <v>274.51313192373078</v>
      </c>
      <c r="I79" s="0">
        <v>6.6851341031903679</v>
      </c>
      <c r="J79" s="0">
        <v>4961.406604485871</v>
      </c>
      <c r="K79" s="0">
        <v>0.63171428571428567</v>
      </c>
    </row>
    <row r="80">
      <c r="A80" s="0" t="s">
        <v>122</v>
      </c>
      <c r="B80" s="0" t="s">
        <v>127</v>
      </c>
      <c r="C80" s="0">
        <v>2025</v>
      </c>
      <c r="D80" s="0">
        <v>4815.137587735042</v>
      </c>
      <c r="E80" s="0">
        <v>374.92697086402785</v>
      </c>
      <c r="F80" s="0">
        <v>10958.415905674632</v>
      </c>
      <c r="G80" s="0">
        <v>5.7019017889405408</v>
      </c>
      <c r="H80" s="0">
        <v>270.79874250945323</v>
      </c>
      <c r="I80" s="0">
        <v>6.2483811256520658</v>
      </c>
      <c r="J80" s="0">
        <v>4963.6110478797518</v>
      </c>
      <c r="K80" s="0">
        <v>0.64142857142857146</v>
      </c>
    </row>
    <row r="81">
      <c r="A81" s="0" t="s">
        <v>122</v>
      </c>
      <c r="B81" s="0" t="s">
        <v>127</v>
      </c>
      <c r="C81" s="0">
        <v>2026</v>
      </c>
      <c r="D81" s="0">
        <v>4822.7054046706789</v>
      </c>
      <c r="E81" s="0">
        <v>369.33350135574483</v>
      </c>
      <c r="F81" s="0">
        <v>11239.435837856354</v>
      </c>
      <c r="G81" s="0">
        <v>5.1832845781137689</v>
      </c>
      <c r="H81" s="0">
        <v>267.17800096714444</v>
      </c>
      <c r="I81" s="0">
        <v>5.8257194445060039</v>
      </c>
      <c r="J81" s="0">
        <v>4963.1216510379372</v>
      </c>
      <c r="K81" s="0">
        <v>0.65114285714285713</v>
      </c>
    </row>
    <row r="82">
      <c r="A82" s="0" t="s">
        <v>122</v>
      </c>
      <c r="B82" s="0" t="s">
        <v>127</v>
      </c>
      <c r="C82" s="0">
        <v>2027</v>
      </c>
      <c r="D82" s="0">
        <v>4829.9743531342046</v>
      </c>
      <c r="E82" s="0">
        <v>363.90447453080105</v>
      </c>
      <c r="F82" s="0">
        <v>11517.178324585864</v>
      </c>
      <c r="G82" s="0">
        <v>4.7118382624236723</v>
      </c>
      <c r="H82" s="0">
        <v>263.64739184618224</v>
      </c>
      <c r="I82" s="0">
        <v>5.426708150494024</v>
      </c>
      <c r="J82" s="0">
        <v>4959.7216252327062</v>
      </c>
      <c r="K82" s="0">
        <v>0.66085714285714281</v>
      </c>
    </row>
    <row r="83">
      <c r="A83" s="0" t="s">
        <v>122</v>
      </c>
      <c r="B83" s="0" t="s">
        <v>127</v>
      </c>
      <c r="C83" s="0">
        <v>2028</v>
      </c>
      <c r="D83" s="0">
        <v>4836.9553554659888</v>
      </c>
      <c r="E83" s="0">
        <v>358.63274375361857</v>
      </c>
      <c r="F83" s="0">
        <v>11790.582474086703</v>
      </c>
      <c r="G83" s="0">
        <v>4.2832724070340307</v>
      </c>
      <c r="H83" s="0">
        <v>260.20358558167902</v>
      </c>
      <c r="I83" s="0">
        <v>5.0502276574114608</v>
      </c>
      <c r="J83" s="0">
        <v>4953.6510108132097</v>
      </c>
      <c r="K83" s="0">
        <v>0.67057142857142849</v>
      </c>
    </row>
    <row r="84">
      <c r="A84" s="0" t="s">
        <v>122</v>
      </c>
      <c r="B84" s="0" t="s">
        <v>127</v>
      </c>
      <c r="C84" s="0">
        <v>2029</v>
      </c>
      <c r="D84" s="0">
        <v>4843.6590060256167</v>
      </c>
      <c r="E84" s="0">
        <v>353.51157059627985</v>
      </c>
      <c r="F84" s="0">
        <v>12059.067313921241</v>
      </c>
      <c r="G84" s="0">
        <v>3.8936868141611636</v>
      </c>
      <c r="H84" s="0">
        <v>256.84342539793977</v>
      </c>
      <c r="I84" s="0">
        <v>4.6954231391297023</v>
      </c>
      <c r="J84" s="0">
        <v>4945.1188672135368</v>
      </c>
      <c r="K84" s="0">
        <v>0.68028571428571427</v>
      </c>
    </row>
    <row r="85">
      <c r="A85" s="0" t="s">
        <v>122</v>
      </c>
      <c r="B85" s="0" t="s">
        <v>127</v>
      </c>
      <c r="C85" s="0">
        <v>2030</v>
      </c>
      <c r="D85" s="0">
        <v>4850.0955750948315</v>
      </c>
      <c r="E85" s="0">
        <v>348.53459610341315</v>
      </c>
      <c r="F85" s="0">
        <v>12322.361028364183</v>
      </c>
      <c r="G85" s="0">
        <v>3.5395360290126074</v>
      </c>
      <c r="H85" s="0">
        <v>253.56391534929423</v>
      </c>
      <c r="I85" s="0">
        <v>4.361544082239587</v>
      </c>
      <c r="J85" s="0">
        <v>4934.3089491566398</v>
      </c>
      <c r="K85" s="0">
        <v>0.68999999999999995</v>
      </c>
    </row>
    <row r="86">
      <c r="A86" s="0" t="s">
        <v>123</v>
      </c>
      <c r="B86" s="0" t="s">
        <v>125</v>
      </c>
      <c r="C86" s="0">
        <v>2024</v>
      </c>
      <c r="D86" s="0">
        <v>4806.4543548615857</v>
      </c>
      <c r="E86" s="0">
        <v>384.17447095166381</v>
      </c>
      <c r="F86" s="0">
        <v>10683.037544206034</v>
      </c>
      <c r="G86" s="0">
        <v>7.1015718870217128</v>
      </c>
      <c r="H86" s="0">
        <v>276.97755883984053</v>
      </c>
      <c r="I86" s="0">
        <v>7.586635909193105</v>
      </c>
      <c r="J86" s="0">
        <v>4961.6731820418327</v>
      </c>
      <c r="K86" s="0">
        <v>0.63171428571428567</v>
      </c>
    </row>
    <row r="87">
      <c r="A87" s="0" t="s">
        <v>123</v>
      </c>
      <c r="B87" s="0" t="s">
        <v>125</v>
      </c>
      <c r="C87" s="0">
        <v>2025</v>
      </c>
      <c r="D87" s="0">
        <v>4813.5871756747028</v>
      </c>
      <c r="E87" s="0">
        <v>384.17447095166375</v>
      </c>
      <c r="F87" s="0">
        <v>11012.821534150107</v>
      </c>
      <c r="G87" s="0">
        <v>7.1015718870217128</v>
      </c>
      <c r="H87" s="0">
        <v>277.38859598918134</v>
      </c>
      <c r="I87" s="0">
        <v>7.8208343803707727</v>
      </c>
      <c r="J87" s="0">
        <v>4969.06531876798</v>
      </c>
      <c r="K87" s="0">
        <v>0.64142857142857146</v>
      </c>
    </row>
    <row r="88">
      <c r="A88" s="0" t="s">
        <v>123</v>
      </c>
      <c r="B88" s="0" t="s">
        <v>125</v>
      </c>
      <c r="C88" s="0">
        <v>2026</v>
      </c>
      <c r="D88" s="0">
        <v>4820.466946387096</v>
      </c>
      <c r="E88" s="0">
        <v>384.17447095166381</v>
      </c>
      <c r="F88" s="0">
        <v>11327.377261222491</v>
      </c>
      <c r="G88" s="0">
        <v>7.1015718870217128</v>
      </c>
      <c r="H88" s="0">
        <v>277.78505083023674</v>
      </c>
      <c r="I88" s="0">
        <v>8.0442183911986653</v>
      </c>
      <c r="J88" s="0">
        <v>4973.763387631232</v>
      </c>
      <c r="K88" s="0">
        <v>0.65114285714285713</v>
      </c>
    </row>
    <row r="89">
      <c r="A89" s="0" t="s">
        <v>123</v>
      </c>
      <c r="B89" s="0" t="s">
        <v>125</v>
      </c>
      <c r="C89" s="0">
        <v>2027</v>
      </c>
      <c r="D89" s="0">
        <v>4827.10193155039</v>
      </c>
      <c r="E89" s="0">
        <v>384.17447095166386</v>
      </c>
      <c r="F89" s="0">
        <v>11642.784702480307</v>
      </c>
      <c r="G89" s="0">
        <v>7.1015718870217128</v>
      </c>
      <c r="H89" s="0">
        <v>278.16739961746885</v>
      </c>
      <c r="I89" s="0">
        <v>8.2682072529780601</v>
      </c>
      <c r="J89" s="0">
        <v>4975.5778847342535</v>
      </c>
      <c r="K89" s="0">
        <v>0.66085714285714281</v>
      </c>
    </row>
    <row r="90">
      <c r="A90" s="0" t="s">
        <v>123</v>
      </c>
      <c r="B90" s="0" t="s">
        <v>125</v>
      </c>
      <c r="C90" s="0">
        <v>2028</v>
      </c>
      <c r="D90" s="0">
        <v>4833.5001777750495</v>
      </c>
      <c r="E90" s="0">
        <v>384.17447095166375</v>
      </c>
      <c r="F90" s="0">
        <v>11957.906477264474</v>
      </c>
      <c r="G90" s="0">
        <v>7.1015718870217119</v>
      </c>
      <c r="H90" s="0">
        <v>278.53610604622537</v>
      </c>
      <c r="I90" s="0">
        <v>8.4919932466576231</v>
      </c>
      <c r="J90" s="0">
        <v>4974.7691248761766</v>
      </c>
      <c r="K90" s="0">
        <v>0.67057142857142849</v>
      </c>
    </row>
    <row r="91">
      <c r="A91" s="0" t="s">
        <v>123</v>
      </c>
      <c r="B91" s="0" t="s">
        <v>125</v>
      </c>
      <c r="C91" s="0">
        <v>2029</v>
      </c>
      <c r="D91" s="0">
        <v>4839.669515552695</v>
      </c>
      <c r="E91" s="0">
        <v>384.17447095166381</v>
      </c>
      <c r="F91" s="0">
        <v>12272.08041548608</v>
      </c>
      <c r="G91" s="0">
        <v>7.1015718870217146</v>
      </c>
      <c r="H91" s="0">
        <v>278.89162135775274</v>
      </c>
      <c r="I91" s="0">
        <v>8.7151061273885695</v>
      </c>
      <c r="J91" s="0">
        <v>4971.565905127808</v>
      </c>
      <c r="K91" s="0">
        <v>0.68028571428571427</v>
      </c>
    </row>
    <row r="92">
      <c r="A92" s="0" t="s">
        <v>123</v>
      </c>
      <c r="B92" s="0" t="s">
        <v>125</v>
      </c>
      <c r="C92" s="0">
        <v>2030</v>
      </c>
      <c r="D92" s="0">
        <v>4845.6175614096474</v>
      </c>
      <c r="E92" s="0">
        <v>384.17447095166381</v>
      </c>
      <c r="F92" s="0">
        <v>12584.953004072098</v>
      </c>
      <c r="G92" s="0">
        <v>7.1015718870217137</v>
      </c>
      <c r="H92" s="0">
        <v>279.23438446329641</v>
      </c>
      <c r="I92" s="0">
        <v>8.9372948453207872</v>
      </c>
      <c r="J92" s="0">
        <v>4966.1714963135119</v>
      </c>
      <c r="K92" s="0">
        <v>0.68999999999999995</v>
      </c>
    </row>
    <row r="93">
      <c r="A93" s="0" t="s">
        <v>123</v>
      </c>
      <c r="B93" s="0" t="s">
        <v>126</v>
      </c>
      <c r="C93" s="0">
        <v>2024</v>
      </c>
      <c r="D93" s="0">
        <v>4806.4543548615857</v>
      </c>
      <c r="E93" s="0">
        <v>383.27882359902435</v>
      </c>
      <c r="F93" s="0">
        <v>10683.037544206034</v>
      </c>
      <c r="G93" s="0">
        <v>6.1539147527150693</v>
      </c>
      <c r="H93" s="0">
        <v>276.33182562206338</v>
      </c>
      <c r="I93" s="0">
        <v>6.5742502347098473</v>
      </c>
      <c r="J93" s="0">
        <v>4961.6731820418327</v>
      </c>
      <c r="K93" s="0">
        <v>0.63171428571428567</v>
      </c>
    </row>
    <row r="94">
      <c r="A94" s="0" t="s">
        <v>123</v>
      </c>
      <c r="B94" s="0" t="s">
        <v>126</v>
      </c>
      <c r="C94" s="0">
        <v>2025</v>
      </c>
      <c r="D94" s="0">
        <v>4813.5871756747028</v>
      </c>
      <c r="E94" s="0">
        <v>379.94877650284349</v>
      </c>
      <c r="F94" s="0">
        <v>11012.821534150107</v>
      </c>
      <c r="G94" s="0">
        <v>5.4885024324179934</v>
      </c>
      <c r="H94" s="0">
        <v>274.33748369810718</v>
      </c>
      <c r="I94" s="0">
        <v>6.0443897777968125</v>
      </c>
      <c r="J94" s="0">
        <v>4969.06531876798</v>
      </c>
      <c r="K94" s="0">
        <v>0.64142857142857146</v>
      </c>
    </row>
    <row r="95">
      <c r="A95" s="0" t="s">
        <v>123</v>
      </c>
      <c r="B95" s="0" t="s">
        <v>126</v>
      </c>
      <c r="C95" s="0">
        <v>2026</v>
      </c>
      <c r="D95" s="0">
        <v>4820.466946387096</v>
      </c>
      <c r="E95" s="0">
        <v>376.64766190431192</v>
      </c>
      <c r="F95" s="0">
        <v>11327.377261222491</v>
      </c>
      <c r="G95" s="0">
        <v>4.8950400129231344</v>
      </c>
      <c r="H95" s="0">
        <v>272.34264069655768</v>
      </c>
      <c r="I95" s="0">
        <v>5.5447964935159764</v>
      </c>
      <c r="J95" s="0">
        <v>4973.763387631232</v>
      </c>
      <c r="K95" s="0">
        <v>0.65114285714285713</v>
      </c>
    </row>
    <row r="96">
      <c r="A96" s="0" t="s">
        <v>123</v>
      </c>
      <c r="B96" s="0" t="s">
        <v>126</v>
      </c>
      <c r="C96" s="0">
        <v>2027</v>
      </c>
      <c r="D96" s="0">
        <v>4827.10193155039</v>
      </c>
      <c r="E96" s="0">
        <v>373.37522842878059</v>
      </c>
      <c r="F96" s="0">
        <v>11642.784702480307</v>
      </c>
      <c r="G96" s="0">
        <v>4.3657476740084391</v>
      </c>
      <c r="H96" s="0">
        <v>270.34804295124519</v>
      </c>
      <c r="I96" s="0">
        <v>5.0829460233834434</v>
      </c>
      <c r="J96" s="0">
        <v>4975.5778847342535</v>
      </c>
      <c r="K96" s="0">
        <v>0.66085714285714281</v>
      </c>
    </row>
    <row r="97">
      <c r="A97" s="0" t="s">
        <v>123</v>
      </c>
      <c r="B97" s="0" t="s">
        <v>126</v>
      </c>
      <c r="C97" s="0">
        <v>2028</v>
      </c>
      <c r="D97" s="0">
        <v>4833.5001777750495</v>
      </c>
      <c r="E97" s="0">
        <v>370.1312268856222</v>
      </c>
      <c r="F97" s="0">
        <v>11957.906477264474</v>
      </c>
      <c r="G97" s="0">
        <v>3.8936868141611631</v>
      </c>
      <c r="H97" s="0">
        <v>268.35440264276286</v>
      </c>
      <c r="I97" s="0">
        <v>4.656034277549705</v>
      </c>
      <c r="J97" s="0">
        <v>4974.7691248761766</v>
      </c>
      <c r="K97" s="0">
        <v>0.67057142857142849</v>
      </c>
    </row>
    <row r="98">
      <c r="A98" s="0" t="s">
        <v>123</v>
      </c>
      <c r="B98" s="0" t="s">
        <v>126</v>
      </c>
      <c r="C98" s="0">
        <v>2029</v>
      </c>
      <c r="D98" s="0">
        <v>4839.669515552695</v>
      </c>
      <c r="E98" s="0">
        <v>366.91541024925698</v>
      </c>
      <c r="F98" s="0">
        <v>12272.08041548608</v>
      </c>
      <c r="G98" s="0">
        <v>3.4726690910316682</v>
      </c>
      <c r="H98" s="0">
        <v>266.36239886547594</v>
      </c>
      <c r="I98" s="0">
        <v>4.2616874341513586</v>
      </c>
      <c r="J98" s="0">
        <v>4971.565905127808</v>
      </c>
      <c r="K98" s="0">
        <v>0.68028571428571427</v>
      </c>
    </row>
    <row r="99">
      <c r="A99" s="0" t="s">
        <v>123</v>
      </c>
      <c r="B99" s="0" t="s">
        <v>126</v>
      </c>
      <c r="C99" s="0">
        <v>2030</v>
      </c>
      <c r="D99" s="0">
        <v>4845.6175614096474</v>
      </c>
      <c r="E99" s="0">
        <v>363.72753364033997</v>
      </c>
      <c r="F99" s="0">
        <v>12584.953004072098</v>
      </c>
      <c r="G99" s="0">
        <v>3.0971752971880306</v>
      </c>
      <c r="H99" s="0">
        <v>264.37267868637747</v>
      </c>
      <c r="I99" s="0">
        <v>3.8977805560484398</v>
      </c>
      <c r="J99" s="0">
        <v>4966.1714963135119</v>
      </c>
      <c r="K99" s="0">
        <v>0.68999999999999995</v>
      </c>
    </row>
    <row r="100">
      <c r="A100" s="0" t="s">
        <v>123</v>
      </c>
      <c r="B100" s="0" t="s">
        <v>127</v>
      </c>
      <c r="C100" s="0">
        <v>2024</v>
      </c>
      <c r="D100" s="0">
        <v>4806.4543548615857</v>
      </c>
      <c r="E100" s="0">
        <v>380.69246928527497</v>
      </c>
      <c r="F100" s="0">
        <v>10683.037544206034</v>
      </c>
      <c r="G100" s="0">
        <v>6.1539147527150693</v>
      </c>
      <c r="H100" s="0">
        <v>274.46714652888301</v>
      </c>
      <c r="I100" s="0">
        <v>6.5742502347098473</v>
      </c>
      <c r="J100" s="0">
        <v>4961.6731820418327</v>
      </c>
      <c r="K100" s="0">
        <v>0.63171428571428567</v>
      </c>
    </row>
    <row r="101">
      <c r="A101" s="0" t="s">
        <v>123</v>
      </c>
      <c r="B101" s="0" t="s">
        <v>127</v>
      </c>
      <c r="C101" s="0">
        <v>2025</v>
      </c>
      <c r="D101" s="0">
        <v>4813.5871756747028</v>
      </c>
      <c r="E101" s="0">
        <v>374.92697086402796</v>
      </c>
      <c r="F101" s="0">
        <v>11012.821534150107</v>
      </c>
      <c r="G101" s="0">
        <v>5.4885024324179934</v>
      </c>
      <c r="H101" s="0">
        <v>270.71154881484716</v>
      </c>
      <c r="I101" s="0">
        <v>6.0443897777968125</v>
      </c>
      <c r="J101" s="0">
        <v>4969.06531876798</v>
      </c>
      <c r="K101" s="0">
        <v>0.64142857142857146</v>
      </c>
    </row>
    <row r="102">
      <c r="A102" s="0" t="s">
        <v>123</v>
      </c>
      <c r="B102" s="0" t="s">
        <v>127</v>
      </c>
      <c r="C102" s="0">
        <v>2026</v>
      </c>
      <c r="D102" s="0">
        <v>4820.466946387096</v>
      </c>
      <c r="E102" s="0">
        <v>369.33350135574494</v>
      </c>
      <c r="F102" s="0">
        <v>11327.377261222491</v>
      </c>
      <c r="G102" s="0">
        <v>4.8950400129231344</v>
      </c>
      <c r="H102" s="0">
        <v>267.05399032181731</v>
      </c>
      <c r="I102" s="0">
        <v>5.5447964935159764</v>
      </c>
      <c r="J102" s="0">
        <v>4973.763387631232</v>
      </c>
      <c r="K102" s="0">
        <v>0.65114285714285713</v>
      </c>
    </row>
    <row r="103">
      <c r="A103" s="0" t="s">
        <v>123</v>
      </c>
      <c r="B103" s="0" t="s">
        <v>127</v>
      </c>
      <c r="C103" s="0">
        <v>2027</v>
      </c>
      <c r="D103" s="0">
        <v>4827.10193155039</v>
      </c>
      <c r="E103" s="0">
        <v>363.90447453080105</v>
      </c>
      <c r="F103" s="0">
        <v>11642.784702480307</v>
      </c>
      <c r="G103" s="0">
        <v>4.3657476740084391</v>
      </c>
      <c r="H103" s="0">
        <v>263.49059878611888</v>
      </c>
      <c r="I103" s="0">
        <v>5.0829460233834434</v>
      </c>
      <c r="J103" s="0">
        <v>4975.5778847342535</v>
      </c>
      <c r="K103" s="0">
        <v>0.66085714285714281</v>
      </c>
    </row>
    <row r="104">
      <c r="A104" s="0" t="s">
        <v>123</v>
      </c>
      <c r="B104" s="0" t="s">
        <v>127</v>
      </c>
      <c r="C104" s="0">
        <v>2028</v>
      </c>
      <c r="D104" s="0">
        <v>4833.5001777750495</v>
      </c>
      <c r="E104" s="0">
        <v>358.63274375361857</v>
      </c>
      <c r="F104" s="0">
        <v>11957.906477264474</v>
      </c>
      <c r="G104" s="0">
        <v>3.8936868141611631</v>
      </c>
      <c r="H104" s="0">
        <v>260.01771460336039</v>
      </c>
      <c r="I104" s="0">
        <v>4.656034277549705</v>
      </c>
      <c r="J104" s="0">
        <v>4974.7691248761766</v>
      </c>
      <c r="K104" s="0">
        <v>0.67057142857142849</v>
      </c>
    </row>
    <row r="105">
      <c r="A105" s="0" t="s">
        <v>123</v>
      </c>
      <c r="B105" s="0" t="s">
        <v>127</v>
      </c>
      <c r="C105" s="0">
        <v>2029</v>
      </c>
      <c r="D105" s="0">
        <v>4839.669515552695</v>
      </c>
      <c r="E105" s="0">
        <v>353.51157059627997</v>
      </c>
      <c r="F105" s="0">
        <v>12272.08041548608</v>
      </c>
      <c r="G105" s="0">
        <v>3.4726690910316682</v>
      </c>
      <c r="H105" s="0">
        <v>256.63187574149555</v>
      </c>
      <c r="I105" s="0">
        <v>4.2616874341513586</v>
      </c>
      <c r="J105" s="0">
        <v>4971.565905127808</v>
      </c>
      <c r="K105" s="0">
        <v>0.68028571428571427</v>
      </c>
    </row>
    <row r="106">
      <c r="A106" s="0" t="s">
        <v>123</v>
      </c>
      <c r="B106" s="0" t="s">
        <v>127</v>
      </c>
      <c r="C106" s="0">
        <v>2030</v>
      </c>
      <c r="D106" s="0">
        <v>4845.6175614096474</v>
      </c>
      <c r="E106" s="0">
        <v>348.53459610341315</v>
      </c>
      <c r="F106" s="0">
        <v>12584.953004072098</v>
      </c>
      <c r="G106" s="0">
        <v>3.0971752971880306</v>
      </c>
      <c r="H106" s="0">
        <v>253.32980394562759</v>
      </c>
      <c r="I106" s="0">
        <v>3.8977805560484398</v>
      </c>
      <c r="J106" s="0">
        <v>4966.1714963135119</v>
      </c>
      <c r="K106" s="0">
        <v>0.68999999999999995</v>
      </c>
    </row>
  </sheetData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G15"/>
  <sheetViews>
    <sheetView workbookViewId="0"/>
  </sheetViews>
  <sheetFormatPr defaultRowHeight="15"/>
  <cols>
    <col min="1" max="1" width="5.125" customWidth="true"/>
    <col min="2" max="2" width="22.75" customWidth="true"/>
    <col min="3" max="3" width="18.125" customWidth="true"/>
    <col min="4" max="4" width="26.75" customWidth="true"/>
    <col min="5" max="5" width="25.125" customWidth="true"/>
    <col min="6" max="6" width="81.375" customWidth="true"/>
    <col min="7" max="7" width="101.125" customWidth="true"/>
  </cols>
  <sheetData>
    <row r="1">
      <c r="A1" s="0" t="s">
        <v>128</v>
      </c>
      <c r="B1" s="0" t="s">
        <v>137</v>
      </c>
      <c r="C1" s="0" t="s">
        <v>138</v>
      </c>
      <c r="D1" s="0" t="s">
        <v>139</v>
      </c>
      <c r="E1" s="0" t="s">
        <v>140</v>
      </c>
      <c r="F1" s="0" t="s">
        <v>141</v>
      </c>
      <c r="G1" s="0" t="s">
        <v>143</v>
      </c>
    </row>
    <row r="2">
      <c r="A2" s="0">
        <v>2010</v>
      </c>
      <c r="B2" s="0">
        <v>17.440000000000001</v>
      </c>
      <c r="C2" s="0">
        <v>2977</v>
      </c>
      <c r="D2" s="0">
        <v>58.582465569365134</v>
      </c>
      <c r="E2" s="0">
        <v>160.49990566949353</v>
      </c>
      <c r="F2" s="0" t="s">
        <v>172</v>
      </c>
      <c r="G2" s="0" t="s">
        <v>173</v>
      </c>
    </row>
    <row r="3">
      <c r="A3" s="0">
        <v>2011</v>
      </c>
      <c r="B3" s="0">
        <v>16.609999999999999</v>
      </c>
      <c r="C3" s="0">
        <v>2956.5999999999999</v>
      </c>
      <c r="D3" s="0">
        <v>56.179395251302175</v>
      </c>
      <c r="E3" s="0">
        <v>153.91615137343061</v>
      </c>
      <c r="F3" s="0" t="s">
        <v>172</v>
      </c>
      <c r="G3" s="0" t="s">
        <v>173</v>
      </c>
    </row>
    <row r="4">
      <c r="A4" s="0">
        <v>2012</v>
      </c>
      <c r="B4" s="0">
        <v>16.620000000000001</v>
      </c>
      <c r="C4" s="0">
        <v>2943.7300000000005</v>
      </c>
      <c r="D4" s="0">
        <v>56.458982311557094</v>
      </c>
      <c r="E4" s="0">
        <v>154.6821433193345</v>
      </c>
      <c r="F4" s="0" t="s">
        <v>172</v>
      </c>
      <c r="G4" s="0" t="s">
        <v>173</v>
      </c>
    </row>
    <row r="5">
      <c r="A5" s="0">
        <v>2013</v>
      </c>
      <c r="B5" s="0">
        <v>19.829999999999998</v>
      </c>
      <c r="C5" s="0">
        <v>2940.4899999999998</v>
      </c>
      <c r="D5" s="0">
        <v>67.437739968508652</v>
      </c>
      <c r="E5" s="0">
        <v>184.76093142057167</v>
      </c>
      <c r="F5" s="0" t="s">
        <v>172</v>
      </c>
      <c r="G5" s="0" t="s">
        <v>173</v>
      </c>
    </row>
    <row r="6">
      <c r="A6" s="0">
        <v>2014</v>
      </c>
      <c r="B6" s="0">
        <v>18.66</v>
      </c>
      <c r="C6" s="0">
        <v>2952.0599999999999</v>
      </c>
      <c r="D6" s="0">
        <v>63.2100973557448</v>
      </c>
      <c r="E6" s="0">
        <v>173.17834891984876</v>
      </c>
      <c r="F6" s="0" t="s">
        <v>172</v>
      </c>
      <c r="G6" s="0" t="s">
        <v>173</v>
      </c>
    </row>
    <row r="7">
      <c r="A7" s="0">
        <v>2015</v>
      </c>
      <c r="B7" s="0">
        <v>18.170000000000002</v>
      </c>
      <c r="C7" s="0">
        <v>2957.9000000000001</v>
      </c>
      <c r="D7" s="0">
        <v>61.428716319010114</v>
      </c>
      <c r="E7" s="0">
        <v>168.29785292879484</v>
      </c>
      <c r="F7" s="0" t="s">
        <v>172</v>
      </c>
      <c r="G7" s="0" t="s">
        <v>173</v>
      </c>
    </row>
    <row r="8">
      <c r="A8" s="0">
        <v>2016</v>
      </c>
      <c r="B8" s="0">
        <v>18.239999999999998</v>
      </c>
      <c r="C8" s="0">
        <v>2970.1500000000001</v>
      </c>
      <c r="D8" s="0">
        <v>61.411039846472391</v>
      </c>
      <c r="E8" s="0">
        <v>168.24942423691067</v>
      </c>
      <c r="F8" s="0" t="s">
        <v>172</v>
      </c>
      <c r="G8" s="0" t="s">
        <v>173</v>
      </c>
    </row>
    <row r="9">
      <c r="A9" s="0">
        <v>2017</v>
      </c>
      <c r="B9" s="0">
        <v>19.690000000000001</v>
      </c>
      <c r="C9" s="0">
        <v>2987.3899999999999</v>
      </c>
      <c r="D9" s="0">
        <v>65.910376616377505</v>
      </c>
      <c r="E9" s="0">
        <v>180.57637429144521</v>
      </c>
      <c r="F9" s="0" t="s">
        <v>172</v>
      </c>
      <c r="G9" s="0" t="s">
        <v>173</v>
      </c>
    </row>
    <row r="10">
      <c r="A10" s="0">
        <v>2018</v>
      </c>
      <c r="B10" s="0">
        <v>18.289999999999999</v>
      </c>
      <c r="C10" s="0">
        <v>2992.0300000000002</v>
      </c>
      <c r="D10" s="0">
        <v>61.129066219255819</v>
      </c>
      <c r="E10" s="0">
        <v>167.4768937513858</v>
      </c>
      <c r="F10" s="0" t="s">
        <v>172</v>
      </c>
      <c r="G10" s="0" t="s">
        <v>173</v>
      </c>
    </row>
    <row r="11">
      <c r="A11" s="0">
        <v>2019</v>
      </c>
      <c r="B11" s="0">
        <v>19.109999999999999</v>
      </c>
      <c r="C11" s="0">
        <v>2997.5799999999999</v>
      </c>
      <c r="D11" s="0">
        <v>63.75142615042801</v>
      </c>
      <c r="E11" s="0">
        <v>174.66144150802194</v>
      </c>
      <c r="F11" s="0" t="s">
        <v>172</v>
      </c>
      <c r="G11" s="0" t="s">
        <v>173</v>
      </c>
    </row>
    <row r="12">
      <c r="A12" s="0">
        <v>2020</v>
      </c>
      <c r="B12" s="0">
        <v>20.309999999999999</v>
      </c>
      <c r="C12" s="0">
        <v>2994.2900000000004</v>
      </c>
      <c r="D12" s="0">
        <v>67.829101389644947</v>
      </c>
      <c r="E12" s="0">
        <v>185.83315449217793</v>
      </c>
      <c r="F12" s="0" t="s">
        <v>172</v>
      </c>
      <c r="G12" s="0" t="s">
        <v>173</v>
      </c>
    </row>
    <row r="13">
      <c r="A13" s="0">
        <v>2021</v>
      </c>
      <c r="B13" s="0">
        <v>20.75</v>
      </c>
      <c r="C13" s="0">
        <v>2990.4699999999998</v>
      </c>
      <c r="D13" s="0">
        <v>69.387086310847465</v>
      </c>
      <c r="E13" s="0">
        <v>190.10160633108893</v>
      </c>
      <c r="F13" s="0" t="s">
        <v>172</v>
      </c>
      <c r="G13" s="0" t="s">
        <v>173</v>
      </c>
    </row>
    <row r="14">
      <c r="A14" s="0">
        <v>2022</v>
      </c>
      <c r="B14" s="0">
        <v>20.079999999999998</v>
      </c>
      <c r="C14" s="0">
        <v>2983.71</v>
      </c>
      <c r="D14" s="0">
        <v>67.298765630708061</v>
      </c>
      <c r="E14" s="0">
        <v>184.38017981015906</v>
      </c>
      <c r="F14" s="0" t="s">
        <v>172</v>
      </c>
      <c r="G14" s="0" t="s">
        <v>173</v>
      </c>
    </row>
    <row r="15">
      <c r="A15" s="0">
        <v>2023</v>
      </c>
      <c r="B15" s="0">
        <v>19.710000000000001</v>
      </c>
      <c r="C15" s="0">
        <v>2981.8499999999999</v>
      </c>
      <c r="D15" s="0">
        <v>66.099904421751603</v>
      </c>
      <c r="E15" s="0">
        <v>181.09562855274413</v>
      </c>
      <c r="F15" s="0" t="s">
        <v>172</v>
      </c>
      <c r="G15" s="0" t="s">
        <v>173</v>
      </c>
    </row>
  </sheetData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N15"/>
  <sheetViews>
    <sheetView workbookViewId="0"/>
  </sheetViews>
  <sheetFormatPr defaultRowHeight="15"/>
  <cols>
    <col min="1" max="1" width="5.125" customWidth="true"/>
    <col min="2" max="2" width="13.375" customWidth="true"/>
    <col min="3" max="3" width="17.375" customWidth="true"/>
    <col min="4" max="4" width="17.375" customWidth="true"/>
    <col min="5" max="5" width="17.375" customWidth="true"/>
    <col min="6" max="6" width="17.375" customWidth="true"/>
    <col min="7" max="7" width="9.125" customWidth="true"/>
    <col min="8" max="8" width="9.125" customWidth="true"/>
    <col min="9" max="9" width="12.625" customWidth="true"/>
    <col min="10" max="10" width="13.625" customWidth="true"/>
    <col min="11" max="11" width="13.625" customWidth="true"/>
    <col min="12" max="12" width="14.625" customWidth="true"/>
    <col min="13" max="13" width="54.125" customWidth="true"/>
    <col min="14" max="14" width="31.125" customWidth="true"/>
  </cols>
  <sheetData>
    <row r="1">
      <c r="A1" s="0" t="s">
        <v>128</v>
      </c>
      <c r="B1" s="0" t="s">
        <v>152</v>
      </c>
      <c r="C1" s="0" t="s">
        <v>153</v>
      </c>
      <c r="D1" s="0" t="s">
        <v>154</v>
      </c>
      <c r="E1" s="0" t="s">
        <v>155</v>
      </c>
      <c r="F1" s="0" t="s">
        <v>156</v>
      </c>
      <c r="G1" s="0" t="s">
        <v>157</v>
      </c>
      <c r="H1" s="0" t="s">
        <v>158</v>
      </c>
      <c r="I1" s="0" t="s">
        <v>159</v>
      </c>
      <c r="J1" s="0" t="s">
        <v>160</v>
      </c>
      <c r="K1" s="0" t="s">
        <v>161</v>
      </c>
      <c r="L1" s="0" t="s">
        <v>162</v>
      </c>
      <c r="M1" s="0" t="s">
        <v>163</v>
      </c>
      <c r="N1" s="0" t="s">
        <v>169</v>
      </c>
    </row>
    <row r="2">
      <c r="A2" s="0">
        <v>2010</v>
      </c>
      <c r="B2" s="0">
        <v>191.30000000000001</v>
      </c>
      <c r="C2" s="0">
        <v>157.25</v>
      </c>
      <c r="D2" s="0">
        <v>15.5</v>
      </c>
      <c r="E2" s="0">
        <v>17.440000000000001</v>
      </c>
      <c r="F2" s="0">
        <v>1.1100000000000001</v>
      </c>
      <c r="G2" s="0">
        <v>191.30000000000001</v>
      </c>
      <c r="H2" s="0">
        <v>0</v>
      </c>
      <c r="I2" s="0">
        <v>0.82200731834814422</v>
      </c>
      <c r="J2" s="0">
        <v>0.08102456874019863</v>
      </c>
      <c r="K2" s="0">
        <v>0.091165708311552532</v>
      </c>
      <c r="L2" s="0">
        <v>0.0058024046001045482</v>
      </c>
      <c r="M2" s="0" t="s">
        <v>164</v>
      </c>
      <c r="N2" s="0" t="s">
        <v>170</v>
      </c>
    </row>
    <row r="3">
      <c r="A3" s="0">
        <v>2011</v>
      </c>
      <c r="B3" s="0">
        <v>192.40000000000001</v>
      </c>
      <c r="C3" s="0">
        <v>156.99000000000001</v>
      </c>
      <c r="D3" s="0">
        <v>17.66</v>
      </c>
      <c r="E3" s="0">
        <v>16.609999999999999</v>
      </c>
      <c r="F3" s="0">
        <v>1.1399999999999999</v>
      </c>
      <c r="G3" s="0">
        <v>192.39999999999998</v>
      </c>
      <c r="H3" s="0">
        <v>0</v>
      </c>
      <c r="I3" s="0">
        <v>0.81595634095634095</v>
      </c>
      <c r="J3" s="0">
        <v>0.091787941787941779</v>
      </c>
      <c r="K3" s="0">
        <v>0.086330561330561328</v>
      </c>
      <c r="L3" s="0">
        <v>0.0059251559251559246</v>
      </c>
      <c r="M3" s="0" t="s">
        <v>164</v>
      </c>
      <c r="N3" s="0" t="s">
        <v>170</v>
      </c>
    </row>
    <row r="4">
      <c r="A4" s="0">
        <v>2012</v>
      </c>
      <c r="B4" s="0">
        <v>189.5</v>
      </c>
      <c r="C4" s="0">
        <v>154.41</v>
      </c>
      <c r="D4" s="0">
        <v>17.34</v>
      </c>
      <c r="E4" s="0">
        <v>16.620000000000001</v>
      </c>
      <c r="F4" s="0">
        <v>1.1299999999999999</v>
      </c>
      <c r="G4" s="0">
        <v>189.5</v>
      </c>
      <c r="H4" s="0">
        <v>0</v>
      </c>
      <c r="I4" s="0">
        <v>0.8148284960422163</v>
      </c>
      <c r="J4" s="0">
        <v>0.091503957783641163</v>
      </c>
      <c r="K4" s="0">
        <v>0.087704485488126649</v>
      </c>
      <c r="L4" s="0">
        <v>0.0059630606860158301</v>
      </c>
      <c r="M4" s="0" t="s">
        <v>164</v>
      </c>
      <c r="N4" s="0" t="s">
        <v>170</v>
      </c>
    </row>
    <row r="5">
      <c r="A5" s="0">
        <v>2013</v>
      </c>
      <c r="B5" s="0">
        <v>187.59999999999999</v>
      </c>
      <c r="C5" s="0">
        <v>145.22999999999999</v>
      </c>
      <c r="D5" s="0">
        <v>21.5</v>
      </c>
      <c r="E5" s="0">
        <v>19.829999999999998</v>
      </c>
      <c r="F5" s="0">
        <v>1.04</v>
      </c>
      <c r="G5" s="0">
        <v>187.59999999999999</v>
      </c>
      <c r="H5" s="0">
        <v>0</v>
      </c>
      <c r="I5" s="0">
        <v>0.77414712153518117</v>
      </c>
      <c r="J5" s="0">
        <v>0.11460554371002132</v>
      </c>
      <c r="K5" s="0">
        <v>0.10570362473347547</v>
      </c>
      <c r="L5" s="0">
        <v>0.0055437100213219619</v>
      </c>
      <c r="M5" s="0" t="s">
        <v>164</v>
      </c>
      <c r="N5" s="0" t="s">
        <v>170</v>
      </c>
    </row>
    <row r="6">
      <c r="A6" s="0">
        <v>2014</v>
      </c>
      <c r="B6" s="0">
        <v>190.90000000000001</v>
      </c>
      <c r="C6" s="0">
        <v>161.55000000000001</v>
      </c>
      <c r="D6" s="0">
        <v>9.8200000000000003</v>
      </c>
      <c r="E6" s="0">
        <v>18.66</v>
      </c>
      <c r="F6" s="0">
        <v>0.87</v>
      </c>
      <c r="G6" s="0">
        <v>190.90000000000001</v>
      </c>
      <c r="H6" s="0">
        <v>0</v>
      </c>
      <c r="I6" s="0">
        <v>0.84625458355159777</v>
      </c>
      <c r="J6" s="0">
        <v>0.051440544787847042</v>
      </c>
      <c r="K6" s="0">
        <v>0.09774751178627554</v>
      </c>
      <c r="L6" s="0">
        <v>0.0045573598742797271</v>
      </c>
      <c r="M6" s="0" t="s">
        <v>164</v>
      </c>
      <c r="N6" s="0" t="s">
        <v>170</v>
      </c>
    </row>
    <row r="7">
      <c r="A7" s="0">
        <v>2015</v>
      </c>
      <c r="B7" s="0">
        <v>184.59999999999999</v>
      </c>
      <c r="C7" s="0">
        <v>153.33000000000001</v>
      </c>
      <c r="D7" s="0">
        <v>12.460000000000001</v>
      </c>
      <c r="E7" s="0">
        <v>18.170000000000002</v>
      </c>
      <c r="F7" s="0">
        <v>0.64000000000000001</v>
      </c>
      <c r="G7" s="0">
        <v>184.60000000000002</v>
      </c>
      <c r="H7" s="0">
        <v>0</v>
      </c>
      <c r="I7" s="0">
        <v>0.83060671722643564</v>
      </c>
      <c r="J7" s="0">
        <v>0.067497291440953414</v>
      </c>
      <c r="K7" s="0">
        <v>0.098429035752979427</v>
      </c>
      <c r="L7" s="0">
        <v>0.003466955579631636</v>
      </c>
      <c r="M7" s="0" t="s">
        <v>164</v>
      </c>
      <c r="N7" s="0" t="s">
        <v>170</v>
      </c>
    </row>
    <row r="8">
      <c r="A8" s="0">
        <v>2016</v>
      </c>
      <c r="B8" s="0">
        <v>187.90000000000001</v>
      </c>
      <c r="C8" s="0">
        <v>150.33000000000001</v>
      </c>
      <c r="D8" s="0">
        <v>18.68</v>
      </c>
      <c r="E8" s="0">
        <v>18.239999999999998</v>
      </c>
      <c r="F8" s="0">
        <v>0.65000000000000002</v>
      </c>
      <c r="G8" s="0">
        <v>187.90000000000003</v>
      </c>
      <c r="H8" s="0">
        <v>0</v>
      </c>
      <c r="I8" s="0">
        <v>0.80005321979776478</v>
      </c>
      <c r="J8" s="0">
        <v>0.099414582224587544</v>
      </c>
      <c r="K8" s="0">
        <v>0.097072911122937727</v>
      </c>
      <c r="L8" s="0">
        <v>0.0034592868547099519</v>
      </c>
      <c r="M8" s="0" t="s">
        <v>164</v>
      </c>
      <c r="N8" s="0" t="s">
        <v>170</v>
      </c>
    </row>
    <row r="9">
      <c r="A9" s="0">
        <v>2017</v>
      </c>
      <c r="B9" s="0">
        <v>191.19999999999999</v>
      </c>
      <c r="C9" s="0">
        <v>157.09</v>
      </c>
      <c r="D9" s="0">
        <v>13.74</v>
      </c>
      <c r="E9" s="0">
        <v>19.690000000000001</v>
      </c>
      <c r="F9" s="0">
        <v>0.68000000000000005</v>
      </c>
      <c r="G9" s="0">
        <v>191.20000000000002</v>
      </c>
      <c r="H9" s="0">
        <v>0</v>
      </c>
      <c r="I9" s="0">
        <v>0.82160041841004194</v>
      </c>
      <c r="J9" s="0">
        <v>0.071861924686192472</v>
      </c>
      <c r="K9" s="0">
        <v>0.10298117154811717</v>
      </c>
      <c r="L9" s="0">
        <v>0.0035564853556485361</v>
      </c>
      <c r="M9" s="0" t="s">
        <v>164</v>
      </c>
      <c r="N9" s="0" t="s">
        <v>170</v>
      </c>
    </row>
    <row r="10">
      <c r="A10" s="0">
        <v>2018</v>
      </c>
      <c r="B10" s="0">
        <v>164.88</v>
      </c>
      <c r="C10" s="0">
        <v>134.44999999999999</v>
      </c>
      <c r="D10" s="0">
        <v>11.43</v>
      </c>
      <c r="E10" s="0">
        <v>18.289999999999999</v>
      </c>
      <c r="F10" s="0">
        <v>0.70999999999999996</v>
      </c>
      <c r="G10" s="0">
        <v>164.88</v>
      </c>
      <c r="H10" s="0">
        <v>0</v>
      </c>
      <c r="I10" s="0">
        <v>0.81544153323629298</v>
      </c>
      <c r="J10" s="0">
        <v>0.069323144104803489</v>
      </c>
      <c r="K10" s="0">
        <v>0.11092916060164969</v>
      </c>
      <c r="L10" s="0">
        <v>0.0043061620572537604</v>
      </c>
      <c r="M10" s="0" t="s">
        <v>165</v>
      </c>
      <c r="N10" s="0" t="s">
        <v>171</v>
      </c>
    </row>
    <row r="11">
      <c r="A11" s="0">
        <v>2019</v>
      </c>
      <c r="B11" s="0">
        <v>176.77000000000001</v>
      </c>
      <c r="C11" s="0">
        <v>146.5</v>
      </c>
      <c r="D11" s="0">
        <v>10.130000000000001</v>
      </c>
      <c r="E11" s="0">
        <v>19.109999999999999</v>
      </c>
      <c r="F11" s="0">
        <v>1.03</v>
      </c>
      <c r="G11" s="0">
        <v>176.77000000000001</v>
      </c>
      <c r="H11" s="0">
        <v>0</v>
      </c>
      <c r="I11" s="0">
        <v>0.82876053629009439</v>
      </c>
      <c r="J11" s="0">
        <v>0.057306103976919161</v>
      </c>
      <c r="K11" s="0">
        <v>0.10810657917067375</v>
      </c>
      <c r="L11" s="0">
        <v>0.0058267805623126098</v>
      </c>
      <c r="M11" s="0" t="s">
        <v>165</v>
      </c>
      <c r="N11" s="0" t="s">
        <v>171</v>
      </c>
    </row>
    <row r="12">
      <c r="A12" s="0">
        <v>2020</v>
      </c>
      <c r="B12" s="0">
        <v>166.90000000000001</v>
      </c>
      <c r="C12" s="0">
        <v>135.75</v>
      </c>
      <c r="D12" s="0">
        <v>9.4399999999999995</v>
      </c>
      <c r="E12" s="0">
        <v>20.309999999999999</v>
      </c>
      <c r="F12" s="0">
        <v>1.3999999999999999</v>
      </c>
      <c r="G12" s="0">
        <v>166.90000000000001</v>
      </c>
      <c r="H12" s="0">
        <v>0</v>
      </c>
      <c r="I12" s="0">
        <v>0.81336129418813663</v>
      </c>
      <c r="J12" s="0">
        <v>0.056560814859197117</v>
      </c>
      <c r="K12" s="0">
        <v>0.12168963451168363</v>
      </c>
      <c r="L12" s="0">
        <v>0.0083882564409826239</v>
      </c>
      <c r="M12" s="0" t="s">
        <v>164</v>
      </c>
      <c r="N12" s="0" t="s">
        <v>170</v>
      </c>
    </row>
    <row r="13">
      <c r="A13" s="0">
        <v>2021</v>
      </c>
      <c r="B13" s="0">
        <v>164.5</v>
      </c>
      <c r="C13" s="0">
        <v>130.91</v>
      </c>
      <c r="D13" s="0">
        <v>11.279999999999999</v>
      </c>
      <c r="E13" s="0">
        <v>20.75</v>
      </c>
      <c r="F13" s="0">
        <v>1.5600000000000001</v>
      </c>
      <c r="G13" s="0">
        <v>164.5</v>
      </c>
      <c r="H13" s="0">
        <v>0</v>
      </c>
      <c r="I13" s="0">
        <v>0.79580547112462008</v>
      </c>
      <c r="J13" s="0">
        <v>0.068571428571428561</v>
      </c>
      <c r="K13" s="0">
        <v>0.12613981762917933</v>
      </c>
      <c r="L13" s="0">
        <v>0.009483282674772036</v>
      </c>
      <c r="M13" s="0" t="s">
        <v>166</v>
      </c>
      <c r="N13" s="0" t="s">
        <v>170</v>
      </c>
    </row>
    <row r="14">
      <c r="A14" s="0">
        <v>2022</v>
      </c>
      <c r="B14" s="0">
        <v>194.30000000000001</v>
      </c>
      <c r="C14" s="0">
        <v>157.09</v>
      </c>
      <c r="D14" s="0">
        <v>12.4</v>
      </c>
      <c r="E14" s="0">
        <v>20.079999999999998</v>
      </c>
      <c r="F14" s="0">
        <v>4.7300000000000004</v>
      </c>
      <c r="G14" s="0">
        <v>194.29999999999998</v>
      </c>
      <c r="H14" s="0">
        <v>0</v>
      </c>
      <c r="I14" s="0">
        <v>0.80849202264539366</v>
      </c>
      <c r="J14" s="0">
        <v>0.063818836850231597</v>
      </c>
      <c r="K14" s="0">
        <v>0.10334534225424599</v>
      </c>
      <c r="L14" s="0">
        <v>0.024343798250128668</v>
      </c>
      <c r="M14" s="0" t="s">
        <v>167</v>
      </c>
      <c r="N14" s="0" t="s">
        <v>170</v>
      </c>
    </row>
    <row r="15">
      <c r="A15" s="0">
        <v>2023</v>
      </c>
      <c r="B15" s="0">
        <v>165</v>
      </c>
      <c r="C15" s="0">
        <v>128.72</v>
      </c>
      <c r="D15" s="0">
        <v>12.42</v>
      </c>
      <c r="E15" s="0">
        <v>19.710000000000001</v>
      </c>
      <c r="F15" s="0">
        <v>4.1500000000000004</v>
      </c>
      <c r="G15" s="0">
        <v>165</v>
      </c>
      <c r="H15" s="0">
        <v>0</v>
      </c>
      <c r="I15" s="0">
        <v>0.7801212121212121</v>
      </c>
      <c r="J15" s="0">
        <v>0.075272727272727269</v>
      </c>
      <c r="K15" s="0">
        <v>0.11945454545454547</v>
      </c>
      <c r="L15" s="0">
        <v>0.025151515151515154</v>
      </c>
      <c r="M15" s="0" t="s">
        <v>168</v>
      </c>
      <c r="N15" s="0" t="s">
        <v>170</v>
      </c>
    </row>
  </sheetData>
</worksheet>
</file>